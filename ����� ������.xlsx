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G90" i="1" l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89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90" i="1"/>
  <c r="E89" i="1"/>
  <c r="X1" i="1"/>
  <c r="X9" i="1" s="1"/>
  <c r="V1" i="1"/>
  <c r="V8" i="1" s="1"/>
  <c r="J1" i="1"/>
  <c r="H1" i="1"/>
  <c r="H68" i="1" s="1"/>
  <c r="J68" i="1"/>
  <c r="X6" i="1"/>
  <c r="X8" i="1"/>
  <c r="X10" i="1"/>
  <c r="X11" i="1"/>
  <c r="X13" i="1"/>
  <c r="X14" i="1"/>
  <c r="X15" i="1"/>
  <c r="X17" i="1"/>
  <c r="X18" i="1"/>
  <c r="X19" i="1"/>
  <c r="X21" i="1"/>
  <c r="X22" i="1"/>
  <c r="X23" i="1"/>
  <c r="X25" i="1"/>
  <c r="X26" i="1"/>
  <c r="X27" i="1"/>
  <c r="X29" i="1"/>
  <c r="X30" i="1"/>
  <c r="X31" i="1"/>
  <c r="X33" i="1"/>
  <c r="X34" i="1"/>
  <c r="X35" i="1"/>
  <c r="X37" i="1"/>
  <c r="X38" i="1"/>
  <c r="X39" i="1"/>
  <c r="X41" i="1"/>
  <c r="X42" i="1"/>
  <c r="X43" i="1"/>
  <c r="X45" i="1"/>
  <c r="X46" i="1"/>
  <c r="X47" i="1"/>
  <c r="X49" i="1"/>
  <c r="X50" i="1"/>
  <c r="X51" i="1"/>
  <c r="X53" i="1"/>
  <c r="X54" i="1"/>
  <c r="X55" i="1"/>
  <c r="X57" i="1"/>
  <c r="X58" i="1"/>
  <c r="X59" i="1"/>
  <c r="X61" i="1"/>
  <c r="X62" i="1"/>
  <c r="X63" i="1"/>
  <c r="X65" i="1"/>
  <c r="X66" i="1"/>
  <c r="X67" i="1"/>
  <c r="X69" i="1"/>
  <c r="X70" i="1"/>
  <c r="X71" i="1"/>
  <c r="X73" i="1"/>
  <c r="X74" i="1"/>
  <c r="X75" i="1"/>
  <c r="X77" i="1"/>
  <c r="X78" i="1"/>
  <c r="X79" i="1"/>
  <c r="X81" i="1"/>
  <c r="X82" i="1"/>
  <c r="X83" i="1"/>
  <c r="X5" i="1"/>
  <c r="V6" i="1"/>
  <c r="V7" i="1"/>
  <c r="V11" i="1"/>
  <c r="V12" i="1"/>
  <c r="V14" i="1"/>
  <c r="V16" i="1"/>
  <c r="V17" i="1"/>
  <c r="V18" i="1"/>
  <c r="V20" i="1"/>
  <c r="V21" i="1"/>
  <c r="V22" i="1"/>
  <c r="V24" i="1"/>
  <c r="V25" i="1"/>
  <c r="V26" i="1"/>
  <c r="V28" i="1"/>
  <c r="V29" i="1"/>
  <c r="V30" i="1"/>
  <c r="V32" i="1"/>
  <c r="V33" i="1"/>
  <c r="V34" i="1"/>
  <c r="V36" i="1"/>
  <c r="V37" i="1"/>
  <c r="V38" i="1"/>
  <c r="V40" i="1"/>
  <c r="V41" i="1"/>
  <c r="V42" i="1"/>
  <c r="V44" i="1"/>
  <c r="V45" i="1"/>
  <c r="V46" i="1"/>
  <c r="V48" i="1"/>
  <c r="V49" i="1"/>
  <c r="V50" i="1"/>
  <c r="V52" i="1"/>
  <c r="V53" i="1"/>
  <c r="V54" i="1"/>
  <c r="V56" i="1"/>
  <c r="V57" i="1"/>
  <c r="V58" i="1"/>
  <c r="V60" i="1"/>
  <c r="V61" i="1"/>
  <c r="V62" i="1"/>
  <c r="V64" i="1"/>
  <c r="V65" i="1"/>
  <c r="V66" i="1"/>
  <c r="V68" i="1"/>
  <c r="V69" i="1"/>
  <c r="V70" i="1"/>
  <c r="V72" i="1"/>
  <c r="V73" i="1"/>
  <c r="V74" i="1"/>
  <c r="V76" i="1"/>
  <c r="V77" i="1"/>
  <c r="V78" i="1"/>
  <c r="V80" i="1"/>
  <c r="V81" i="1"/>
  <c r="V82" i="1"/>
  <c r="V84" i="1"/>
  <c r="V5" i="1"/>
  <c r="C79" i="1"/>
  <c r="C80" i="1"/>
  <c r="C81" i="1"/>
  <c r="C82" i="1"/>
  <c r="C83" i="1"/>
  <c r="C8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54" i="1"/>
  <c r="C55" i="1"/>
  <c r="C56" i="1"/>
  <c r="C57" i="1"/>
  <c r="C58" i="1"/>
  <c r="C59" i="1"/>
  <c r="C60" i="1"/>
  <c r="C61" i="1"/>
  <c r="C62" i="1"/>
  <c r="C63" i="1"/>
  <c r="C64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5" i="1"/>
  <c r="D5" i="1" s="1"/>
  <c r="T1" i="1"/>
  <c r="T28" i="1" s="1"/>
  <c r="R1" i="1"/>
  <c r="R12" i="1" s="1"/>
  <c r="P1" i="1"/>
  <c r="P28" i="1" s="1"/>
  <c r="N1" i="1"/>
  <c r="N33" i="1" s="1"/>
  <c r="L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6" i="1"/>
  <c r="C5" i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11" i="1"/>
  <c r="D11" i="1" s="1"/>
  <c r="B10" i="1"/>
  <c r="D10" i="1" s="1"/>
  <c r="B9" i="1"/>
  <c r="D9" i="1" s="1"/>
  <c r="B8" i="1"/>
  <c r="D8" i="1" s="1"/>
  <c r="B7" i="1"/>
  <c r="D7" i="1" s="1"/>
  <c r="B6" i="1"/>
  <c r="D6" i="1" s="1"/>
  <c r="X84" i="1" l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0" i="1"/>
  <c r="V13" i="1"/>
  <c r="V9" i="1"/>
  <c r="J37" i="1"/>
  <c r="J21" i="1"/>
  <c r="J53" i="1"/>
  <c r="J80" i="1"/>
  <c r="J64" i="1"/>
  <c r="N57" i="1"/>
  <c r="N25" i="1"/>
  <c r="R68" i="1"/>
  <c r="J13" i="1"/>
  <c r="J33" i="1"/>
  <c r="J17" i="1"/>
  <c r="J49" i="1"/>
  <c r="J76" i="1"/>
  <c r="N81" i="1"/>
  <c r="N49" i="1"/>
  <c r="N17" i="1"/>
  <c r="R52" i="1"/>
  <c r="J9" i="1"/>
  <c r="J29" i="1"/>
  <c r="J61" i="1"/>
  <c r="J45" i="1"/>
  <c r="J72" i="1"/>
  <c r="N73" i="1"/>
  <c r="N41" i="1"/>
  <c r="N9" i="1"/>
  <c r="R36" i="1"/>
  <c r="J41" i="1"/>
  <c r="J25" i="1"/>
  <c r="J57" i="1"/>
  <c r="J84" i="1"/>
  <c r="N65" i="1"/>
  <c r="R84" i="1"/>
  <c r="R20" i="1"/>
  <c r="L5" i="1"/>
  <c r="L64" i="1"/>
  <c r="L68" i="1"/>
  <c r="L61" i="1"/>
  <c r="L65" i="1"/>
  <c r="L69" i="1"/>
  <c r="L73" i="1"/>
  <c r="L77" i="1"/>
  <c r="L66" i="1"/>
  <c r="L72" i="1"/>
  <c r="L78" i="1"/>
  <c r="L82" i="1"/>
  <c r="L57" i="1"/>
  <c r="L44" i="1"/>
  <c r="L48" i="1"/>
  <c r="L52" i="1"/>
  <c r="L21" i="1"/>
  <c r="L25" i="1"/>
  <c r="L29" i="1"/>
  <c r="L33" i="1"/>
  <c r="L37" i="1"/>
  <c r="L41" i="1"/>
  <c r="L11" i="1"/>
  <c r="L15" i="1"/>
  <c r="L19" i="1"/>
  <c r="L8" i="1"/>
  <c r="L62" i="1"/>
  <c r="L70" i="1"/>
  <c r="L75" i="1"/>
  <c r="L80" i="1"/>
  <c r="L84" i="1"/>
  <c r="L59" i="1"/>
  <c r="L46" i="1"/>
  <c r="L50" i="1"/>
  <c r="L54" i="1"/>
  <c r="L23" i="1"/>
  <c r="L27" i="1"/>
  <c r="L31" i="1"/>
  <c r="L35" i="1"/>
  <c r="L39" i="1"/>
  <c r="L43" i="1"/>
  <c r="L13" i="1"/>
  <c r="L17" i="1"/>
  <c r="L6" i="1"/>
  <c r="H39" i="1"/>
  <c r="H31" i="1"/>
  <c r="H61" i="1"/>
  <c r="H45" i="1"/>
  <c r="H72" i="1"/>
  <c r="L18" i="1"/>
  <c r="L10" i="1"/>
  <c r="L36" i="1"/>
  <c r="L28" i="1"/>
  <c r="L55" i="1"/>
  <c r="L47" i="1"/>
  <c r="L56" i="1"/>
  <c r="L76" i="1"/>
  <c r="L63" i="1"/>
  <c r="P68" i="1"/>
  <c r="P36" i="1"/>
  <c r="T68" i="1"/>
  <c r="T36" i="1"/>
  <c r="N6" i="1"/>
  <c r="N10" i="1"/>
  <c r="N14" i="1"/>
  <c r="N18" i="1"/>
  <c r="N22" i="1"/>
  <c r="N26" i="1"/>
  <c r="N30" i="1"/>
  <c r="N34" i="1"/>
  <c r="N38" i="1"/>
  <c r="N42" i="1"/>
  <c r="N46" i="1"/>
  <c r="N50" i="1"/>
  <c r="N54" i="1"/>
  <c r="N58" i="1"/>
  <c r="N62" i="1"/>
  <c r="N66" i="1"/>
  <c r="N70" i="1"/>
  <c r="N74" i="1"/>
  <c r="N78" i="1"/>
  <c r="N82" i="1"/>
  <c r="N7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12" i="1"/>
  <c r="N20" i="1"/>
  <c r="N28" i="1"/>
  <c r="N36" i="1"/>
  <c r="N44" i="1"/>
  <c r="N52" i="1"/>
  <c r="N60" i="1"/>
  <c r="N68" i="1"/>
  <c r="N76" i="1"/>
  <c r="N84" i="1"/>
  <c r="N8" i="1"/>
  <c r="N16" i="1"/>
  <c r="N24" i="1"/>
  <c r="N32" i="1"/>
  <c r="N40" i="1"/>
  <c r="N48" i="1"/>
  <c r="N56" i="1"/>
  <c r="N64" i="1"/>
  <c r="N72" i="1"/>
  <c r="N80" i="1"/>
  <c r="J65" i="1"/>
  <c r="J69" i="1"/>
  <c r="J73" i="1"/>
  <c r="J77" i="1"/>
  <c r="J81" i="1"/>
  <c r="J42" i="1"/>
  <c r="J46" i="1"/>
  <c r="J50" i="1"/>
  <c r="J54" i="1"/>
  <c r="J58" i="1"/>
  <c r="J62" i="1"/>
  <c r="J18" i="1"/>
  <c r="J22" i="1"/>
  <c r="J26" i="1"/>
  <c r="J30" i="1"/>
  <c r="J34" i="1"/>
  <c r="J38" i="1"/>
  <c r="J6" i="1"/>
  <c r="J10" i="1"/>
  <c r="J14" i="1"/>
  <c r="J5" i="1"/>
  <c r="J67" i="1"/>
  <c r="J71" i="1"/>
  <c r="J75" i="1"/>
  <c r="J79" i="1"/>
  <c r="J83" i="1"/>
  <c r="J44" i="1"/>
  <c r="J48" i="1"/>
  <c r="J52" i="1"/>
  <c r="J56" i="1"/>
  <c r="J60" i="1"/>
  <c r="J16" i="1"/>
  <c r="J20" i="1"/>
  <c r="J24" i="1"/>
  <c r="J28" i="1"/>
  <c r="J32" i="1"/>
  <c r="J36" i="1"/>
  <c r="J40" i="1"/>
  <c r="J8" i="1"/>
  <c r="J12" i="1"/>
  <c r="H6" i="1"/>
  <c r="H10" i="1"/>
  <c r="H37" i="1"/>
  <c r="H29" i="1"/>
  <c r="H21" i="1"/>
  <c r="H59" i="1"/>
  <c r="H51" i="1"/>
  <c r="H43" i="1"/>
  <c r="H78" i="1"/>
  <c r="H70" i="1"/>
  <c r="J15" i="1"/>
  <c r="J7" i="1"/>
  <c r="J35" i="1"/>
  <c r="J27" i="1"/>
  <c r="J19" i="1"/>
  <c r="J59" i="1"/>
  <c r="J51" i="1"/>
  <c r="J43" i="1"/>
  <c r="J78" i="1"/>
  <c r="J70" i="1"/>
  <c r="L9" i="1"/>
  <c r="L16" i="1"/>
  <c r="L42" i="1"/>
  <c r="L34" i="1"/>
  <c r="L26" i="1"/>
  <c r="L53" i="1"/>
  <c r="L45" i="1"/>
  <c r="L83" i="1"/>
  <c r="L74" i="1"/>
  <c r="N5" i="1"/>
  <c r="N69" i="1"/>
  <c r="N53" i="1"/>
  <c r="N37" i="1"/>
  <c r="N21" i="1"/>
  <c r="P5" i="1"/>
  <c r="P60" i="1"/>
  <c r="R76" i="1"/>
  <c r="R44" i="1"/>
  <c r="T60" i="1"/>
  <c r="T6" i="1"/>
  <c r="T10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T66" i="1"/>
  <c r="T70" i="1"/>
  <c r="T74" i="1"/>
  <c r="T78" i="1"/>
  <c r="T82" i="1"/>
  <c r="T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5" i="1"/>
  <c r="T8" i="1"/>
  <c r="T24" i="1"/>
  <c r="T40" i="1"/>
  <c r="T56" i="1"/>
  <c r="T72" i="1"/>
  <c r="T16" i="1"/>
  <c r="T32" i="1"/>
  <c r="T48" i="1"/>
  <c r="T64" i="1"/>
  <c r="T80" i="1"/>
  <c r="H80" i="1"/>
  <c r="P6" i="1"/>
  <c r="P10" i="1"/>
  <c r="P14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" i="1"/>
  <c r="P24" i="1"/>
  <c r="P40" i="1"/>
  <c r="P56" i="1"/>
  <c r="P72" i="1"/>
  <c r="P84" i="1"/>
  <c r="P16" i="1"/>
  <c r="P32" i="1"/>
  <c r="P48" i="1"/>
  <c r="P64" i="1"/>
  <c r="P80" i="1"/>
  <c r="H16" i="1"/>
  <c r="H35" i="1"/>
  <c r="H27" i="1"/>
  <c r="H57" i="1"/>
  <c r="H49" i="1"/>
  <c r="H84" i="1"/>
  <c r="H76" i="1"/>
  <c r="P20" i="1"/>
  <c r="H65" i="1"/>
  <c r="H69" i="1"/>
  <c r="H73" i="1"/>
  <c r="H77" i="1"/>
  <c r="H81" i="1"/>
  <c r="H42" i="1"/>
  <c r="H46" i="1"/>
  <c r="H50" i="1"/>
  <c r="H54" i="1"/>
  <c r="H58" i="1"/>
  <c r="H62" i="1"/>
  <c r="H20" i="1"/>
  <c r="H24" i="1"/>
  <c r="H28" i="1"/>
  <c r="H32" i="1"/>
  <c r="H36" i="1"/>
  <c r="H40" i="1"/>
  <c r="H9" i="1"/>
  <c r="H13" i="1"/>
  <c r="H17" i="1"/>
  <c r="H5" i="1"/>
  <c r="H67" i="1"/>
  <c r="H71" i="1"/>
  <c r="H75" i="1"/>
  <c r="H79" i="1"/>
  <c r="H83" i="1"/>
  <c r="H44" i="1"/>
  <c r="H48" i="1"/>
  <c r="H52" i="1"/>
  <c r="H56" i="1"/>
  <c r="H60" i="1"/>
  <c r="H18" i="1"/>
  <c r="H22" i="1"/>
  <c r="H26" i="1"/>
  <c r="H30" i="1"/>
  <c r="H34" i="1"/>
  <c r="H38" i="1"/>
  <c r="H7" i="1"/>
  <c r="H11" i="1"/>
  <c r="H15" i="1"/>
  <c r="H12" i="1"/>
  <c r="H23" i="1"/>
  <c r="H53" i="1"/>
  <c r="H64" i="1"/>
  <c r="H8" i="1"/>
  <c r="H19" i="1"/>
  <c r="L7" i="1"/>
  <c r="L14" i="1"/>
  <c r="L40" i="1"/>
  <c r="L32" i="1"/>
  <c r="L24" i="1"/>
  <c r="L51" i="1"/>
  <c r="L60" i="1"/>
  <c r="L81" i="1"/>
  <c r="L71" i="1"/>
  <c r="P81" i="1"/>
  <c r="P52" i="1"/>
  <c r="T84" i="1"/>
  <c r="T52" i="1"/>
  <c r="T20" i="1"/>
  <c r="R6" i="1"/>
  <c r="R10" i="1"/>
  <c r="R14" i="1"/>
  <c r="R18" i="1"/>
  <c r="R22" i="1"/>
  <c r="R26" i="1"/>
  <c r="R30" i="1"/>
  <c r="R34" i="1"/>
  <c r="R38" i="1"/>
  <c r="R42" i="1"/>
  <c r="R46" i="1"/>
  <c r="R50" i="1"/>
  <c r="R54" i="1"/>
  <c r="R58" i="1"/>
  <c r="R62" i="1"/>
  <c r="R66" i="1"/>
  <c r="R70" i="1"/>
  <c r="R74" i="1"/>
  <c r="R78" i="1"/>
  <c r="R82" i="1"/>
  <c r="R7" i="1"/>
  <c r="R11" i="1"/>
  <c r="R15" i="1"/>
  <c r="R19" i="1"/>
  <c r="R23" i="1"/>
  <c r="R27" i="1"/>
  <c r="R31" i="1"/>
  <c r="R35" i="1"/>
  <c r="R39" i="1"/>
  <c r="R43" i="1"/>
  <c r="R47" i="1"/>
  <c r="R51" i="1"/>
  <c r="R55" i="1"/>
  <c r="R59" i="1"/>
  <c r="R63" i="1"/>
  <c r="R67" i="1"/>
  <c r="R71" i="1"/>
  <c r="R75" i="1"/>
  <c r="R79" i="1"/>
  <c r="R83" i="1"/>
  <c r="R9" i="1"/>
  <c r="R13" i="1"/>
  <c r="R17" i="1"/>
  <c r="R21" i="1"/>
  <c r="R25" i="1"/>
  <c r="R29" i="1"/>
  <c r="R33" i="1"/>
  <c r="R37" i="1"/>
  <c r="R41" i="1"/>
  <c r="R45" i="1"/>
  <c r="R49" i="1"/>
  <c r="R53" i="1"/>
  <c r="R57" i="1"/>
  <c r="R61" i="1"/>
  <c r="R65" i="1"/>
  <c r="R69" i="1"/>
  <c r="R73" i="1"/>
  <c r="R77" i="1"/>
  <c r="R81" i="1"/>
  <c r="R5" i="1"/>
  <c r="R8" i="1"/>
  <c r="R24" i="1"/>
  <c r="R40" i="1"/>
  <c r="R56" i="1"/>
  <c r="R72" i="1"/>
  <c r="R16" i="1"/>
  <c r="R32" i="1"/>
  <c r="R48" i="1"/>
  <c r="R64" i="1"/>
  <c r="R80" i="1"/>
  <c r="H14" i="1"/>
  <c r="H41" i="1"/>
  <c r="H33" i="1"/>
  <c r="H25" i="1"/>
  <c r="H63" i="1"/>
  <c r="H55" i="1"/>
  <c r="H47" i="1"/>
  <c r="H82" i="1"/>
  <c r="H74" i="1"/>
  <c r="H66" i="1"/>
  <c r="J11" i="1"/>
  <c r="J39" i="1"/>
  <c r="J31" i="1"/>
  <c r="J23" i="1"/>
  <c r="J63" i="1"/>
  <c r="J55" i="1"/>
  <c r="J47" i="1"/>
  <c r="J82" i="1"/>
  <c r="J74" i="1"/>
  <c r="J66" i="1"/>
  <c r="L20" i="1"/>
  <c r="L12" i="1"/>
  <c r="L38" i="1"/>
  <c r="L30" i="1"/>
  <c r="L22" i="1"/>
  <c r="L49" i="1"/>
  <c r="L58" i="1"/>
  <c r="L79" i="1"/>
  <c r="L67" i="1"/>
  <c r="N77" i="1"/>
  <c r="N61" i="1"/>
  <c r="N45" i="1"/>
  <c r="N29" i="1"/>
  <c r="N13" i="1"/>
  <c r="P76" i="1"/>
  <c r="P44" i="1"/>
  <c r="P12" i="1"/>
  <c r="R60" i="1"/>
  <c r="R28" i="1"/>
  <c r="T76" i="1"/>
  <c r="T44" i="1"/>
  <c r="T12" i="1"/>
  <c r="E36" i="1" l="1"/>
  <c r="E64" i="1"/>
  <c r="E57" i="1"/>
  <c r="E65" i="1"/>
  <c r="E68" i="1"/>
  <c r="E40" i="1"/>
  <c r="E83" i="1"/>
  <c r="E67" i="1"/>
  <c r="E69" i="1"/>
  <c r="E77" i="1"/>
  <c r="E71" i="1"/>
  <c r="E84" i="1"/>
  <c r="E60" i="1"/>
  <c r="E75" i="1"/>
  <c r="E37" i="1"/>
  <c r="E21" i="1"/>
  <c r="E81" i="1"/>
  <c r="E24" i="1"/>
  <c r="E29" i="1"/>
  <c r="E41" i="1"/>
  <c r="E28" i="1"/>
  <c r="E76" i="1"/>
  <c r="E61" i="1"/>
  <c r="E58" i="1"/>
  <c r="E33" i="1"/>
  <c r="E79" i="1"/>
  <c r="E49" i="1"/>
  <c r="E32" i="1"/>
  <c r="E48" i="1"/>
  <c r="E73" i="1"/>
  <c r="E74" i="1"/>
  <c r="E52" i="1"/>
  <c r="E53" i="1"/>
  <c r="E30" i="1"/>
  <c r="E62" i="1"/>
  <c r="E46" i="1"/>
  <c r="E27" i="1"/>
  <c r="E59" i="1"/>
  <c r="E43" i="1"/>
  <c r="E45" i="1"/>
  <c r="E70" i="1"/>
  <c r="E82" i="1"/>
  <c r="E44" i="1"/>
  <c r="E25" i="1"/>
  <c r="E23" i="1"/>
  <c r="E26" i="1"/>
  <c r="E56" i="1"/>
  <c r="E42" i="1"/>
  <c r="E35" i="1"/>
  <c r="E78" i="1"/>
  <c r="E55" i="1"/>
  <c r="E38" i="1"/>
  <c r="E22" i="1"/>
  <c r="E72" i="1"/>
  <c r="E51" i="1"/>
  <c r="E31" i="1"/>
  <c r="E66" i="1"/>
  <c r="E34" i="1"/>
  <c r="E50" i="1"/>
  <c r="E80" i="1"/>
  <c r="E54" i="1"/>
  <c r="E63" i="1"/>
  <c r="E47" i="1"/>
  <c r="E39" i="1"/>
  <c r="E7" i="1"/>
  <c r="E6" i="1"/>
  <c r="E14" i="1"/>
  <c r="E20" i="1"/>
  <c r="E18" i="1"/>
  <c r="E5" i="1"/>
  <c r="E9" i="1"/>
  <c r="E13" i="1"/>
  <c r="E17" i="1"/>
  <c r="E15" i="1"/>
  <c r="E10" i="1"/>
  <c r="E19" i="1"/>
  <c r="E16" i="1"/>
  <c r="E11" i="1"/>
  <c r="E8" i="1"/>
  <c r="E12" i="1"/>
</calcChain>
</file>

<file path=xl/sharedStrings.xml><?xml version="1.0" encoding="utf-8"?>
<sst xmlns="http://schemas.openxmlformats.org/spreadsheetml/2006/main" count="30" uniqueCount="29">
  <si>
    <t>N</t>
  </si>
  <si>
    <t>c</t>
  </si>
  <si>
    <t>p</t>
  </si>
  <si>
    <t>n</t>
  </si>
  <si>
    <t>a</t>
  </si>
  <si>
    <t>nf</t>
  </si>
  <si>
    <t>af</t>
  </si>
  <si>
    <t>NH</t>
  </si>
  <si>
    <t>NG</t>
  </si>
  <si>
    <t>Nit</t>
  </si>
  <si>
    <t>Pit</t>
  </si>
  <si>
    <t>Ns</t>
  </si>
  <si>
    <t>Ng</t>
  </si>
  <si>
    <t>Ngf</t>
  </si>
  <si>
    <t>Ngl</t>
  </si>
  <si>
    <t>Ng_f</t>
  </si>
  <si>
    <t>Ng_c</t>
  </si>
  <si>
    <t>Nig</t>
  </si>
  <si>
    <t>Nigl</t>
  </si>
  <si>
    <t>Ps</t>
  </si>
  <si>
    <t>Pg</t>
  </si>
  <si>
    <t>Pgf</t>
  </si>
  <si>
    <t>Pgl</t>
  </si>
  <si>
    <t>Pg_f</t>
  </si>
  <si>
    <t>Pg_c</t>
  </si>
  <si>
    <t>Pig</t>
  </si>
  <si>
    <t>Pigl</t>
  </si>
  <si>
    <t>OMP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</si>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</sst>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Закон Амдала</c:v>
          </c:tx>
          <c:marker>
            <c:symbol val="none"/>
          </c:marker>
          <c:val>
            <c:numRef>
              <c:f>Лист1!$C$5:$C$20</c:f>
              <c:numCache>
                <c:formatCode>General</c:formatCode>
                <c:ptCount val="16"/>
                <c:pt idx="0">
                  <c:v>1</c:v>
                </c:pt>
                <c:pt idx="1">
                  <c:v>1.9290123456790125</c:v>
                </c:pt>
                <c:pt idx="2">
                  <c:v>2.7943368107302535</c:v>
                </c:pt>
                <c:pt idx="3">
                  <c:v>3.6023054755043229</c:v>
                </c:pt>
                <c:pt idx="4">
                  <c:v>4.3584379358437939</c:v>
                </c:pt>
                <c:pt idx="5">
                  <c:v>5.0675675675675684</c:v>
                </c:pt>
                <c:pt idx="6">
                  <c:v>5.7339449541284395</c:v>
                </c:pt>
                <c:pt idx="7">
                  <c:v>6.3613231552162857</c:v>
                </c:pt>
                <c:pt idx="8">
                  <c:v>6.9530284301606926</c:v>
                </c:pt>
                <c:pt idx="9">
                  <c:v>7.5120192307692308</c:v>
                </c:pt>
                <c:pt idx="10">
                  <c:v>8.040935672514621</c:v>
                </c:pt>
                <c:pt idx="11">
                  <c:v>8.5421412300683386</c:v>
                </c:pt>
                <c:pt idx="12">
                  <c:v>9.0177580466148726</c:v>
                </c:pt>
                <c:pt idx="13">
                  <c:v>9.4696969696969688</c:v>
                </c:pt>
                <c:pt idx="14">
                  <c:v>9.899683210137276</c:v>
                </c:pt>
                <c:pt idx="15">
                  <c:v>10.309278350515465</c:v>
                </c:pt>
              </c:numCache>
            </c:numRef>
          </c:val>
          <c:smooth val="0"/>
        </c:ser>
        <c:ser>
          <c:idx val="1"/>
          <c:order val="1"/>
          <c:tx>
            <c:v>Модифицированный закон Амдала</c:v>
          </c:tx>
          <c:marker>
            <c:symbol val="none"/>
          </c:marker>
          <c:val>
            <c:numRef>
              <c:f>Лист1!$D$5:$D$20</c:f>
              <c:numCache>
                <c:formatCode>General</c:formatCode>
                <c:ptCount val="16"/>
                <c:pt idx="0">
                  <c:v>1</c:v>
                </c:pt>
                <c:pt idx="1">
                  <c:v>1.9290123456790125</c:v>
                </c:pt>
                <c:pt idx="2">
                  <c:v>2.7450808151791994</c:v>
                </c:pt>
                <c:pt idx="3">
                  <c:v>3.6023054755043229</c:v>
                </c:pt>
                <c:pt idx="4">
                  <c:v>4.3584379358437939</c:v>
                </c:pt>
                <c:pt idx="5">
                  <c:v>4.9864368916546997</c:v>
                </c:pt>
                <c:pt idx="6">
                  <c:v>5.5163283318623124</c:v>
                </c:pt>
                <c:pt idx="7">
                  <c:v>6.1722299032194359</c:v>
                </c:pt>
                <c:pt idx="8">
                  <c:v>6.5623687526249483</c:v>
                </c:pt>
                <c:pt idx="9">
                  <c:v>7.5120192307692308</c:v>
                </c:pt>
                <c:pt idx="10">
                  <c:v>7.5120192307692308</c:v>
                </c:pt>
                <c:pt idx="11">
                  <c:v>8.0979528375226746</c:v>
                </c:pt>
                <c:pt idx="12">
                  <c:v>8.7830241708825181</c:v>
                </c:pt>
                <c:pt idx="13">
                  <c:v>8.7830241708825181</c:v>
                </c:pt>
                <c:pt idx="14">
                  <c:v>9.5947190666257303</c:v>
                </c:pt>
                <c:pt idx="15">
                  <c:v>9.5947190666257303</c:v>
                </c:pt>
              </c:numCache>
            </c:numRef>
          </c:val>
          <c:smooth val="0"/>
        </c:ser>
        <c:ser>
          <c:idx val="2"/>
          <c:order val="2"/>
          <c:tx>
            <c:v>Эталон</c:v>
          </c:tx>
          <c:marker>
            <c:symbol val="none"/>
          </c:marker>
          <c:val>
            <c:numRef>
              <c:f>Лист1!$A$5:$A$20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smooth val="0"/>
        </c:ser>
        <c:ser>
          <c:idx val="3"/>
          <c:order val="3"/>
          <c:tx>
            <c:v>Результат</c:v>
          </c:tx>
          <c:marker>
            <c:symbol val="none"/>
          </c:marker>
          <c:val>
            <c:numRef>
              <c:f>Лист1!$F$5:$F$20</c:f>
              <c:numCache>
                <c:formatCode>0.00</c:formatCode>
                <c:ptCount val="16"/>
                <c:pt idx="0">
                  <c:v>1</c:v>
                </c:pt>
                <c:pt idx="1">
                  <c:v>1.9893214738254399</c:v>
                </c:pt>
                <c:pt idx="2">
                  <c:v>2.8658835151619302</c:v>
                </c:pt>
                <c:pt idx="3">
                  <c:v>3.6464914198273002</c:v>
                </c:pt>
                <c:pt idx="4">
                  <c:v>4.1332349084752096</c:v>
                </c:pt>
                <c:pt idx="5">
                  <c:v>4.1519673933334698</c:v>
                </c:pt>
                <c:pt idx="6">
                  <c:v>4.8337519016686397</c:v>
                </c:pt>
                <c:pt idx="7">
                  <c:v>5.1475576356833397</c:v>
                </c:pt>
                <c:pt idx="8">
                  <c:v>5.3993607207401597</c:v>
                </c:pt>
                <c:pt idx="9">
                  <c:v>6.5961643023083401</c:v>
                </c:pt>
                <c:pt idx="10">
                  <c:v>6.3533080475457497</c:v>
                </c:pt>
                <c:pt idx="11">
                  <c:v>6.34243754059663</c:v>
                </c:pt>
                <c:pt idx="12">
                  <c:v>6.7433802722005103</c:v>
                </c:pt>
                <c:pt idx="13">
                  <c:v>6.7429259583642098</c:v>
                </c:pt>
                <c:pt idx="14">
                  <c:v>7.2188142378015803</c:v>
                </c:pt>
                <c:pt idx="15">
                  <c:v>7.9638153968569698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5152"/>
        <c:axId val="78225408"/>
      </c:lineChart>
      <c:catAx>
        <c:axId val="5086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78225408"/>
        <c:crosses val="autoZero"/>
        <c:auto val="1"/>
        <c:lblAlgn val="ctr"/>
        <c:lblOffset val="100"/>
        <c:noMultiLvlLbl val="0"/>
      </c:catAx>
      <c:valAx>
        <c:axId val="7822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865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Закон Амдала</c:v>
          </c:tx>
          <c:marker>
            <c:symbol val="none"/>
          </c:marker>
          <c:val>
            <c:numRef>
              <c:f>Лист1!$C$5:$C$20</c:f>
              <c:numCache>
                <c:formatCode>General</c:formatCode>
                <c:ptCount val="16"/>
                <c:pt idx="0">
                  <c:v>1</c:v>
                </c:pt>
                <c:pt idx="1">
                  <c:v>1.9290123456790125</c:v>
                </c:pt>
                <c:pt idx="2">
                  <c:v>2.7943368107302535</c:v>
                </c:pt>
                <c:pt idx="3">
                  <c:v>3.6023054755043229</c:v>
                </c:pt>
                <c:pt idx="4">
                  <c:v>4.3584379358437939</c:v>
                </c:pt>
                <c:pt idx="5">
                  <c:v>5.0675675675675684</c:v>
                </c:pt>
                <c:pt idx="6">
                  <c:v>5.7339449541284395</c:v>
                </c:pt>
                <c:pt idx="7">
                  <c:v>6.3613231552162857</c:v>
                </c:pt>
                <c:pt idx="8">
                  <c:v>6.9530284301606926</c:v>
                </c:pt>
                <c:pt idx="9">
                  <c:v>7.5120192307692308</c:v>
                </c:pt>
                <c:pt idx="10">
                  <c:v>8.040935672514621</c:v>
                </c:pt>
                <c:pt idx="11">
                  <c:v>8.5421412300683386</c:v>
                </c:pt>
                <c:pt idx="12">
                  <c:v>9.0177580466148726</c:v>
                </c:pt>
                <c:pt idx="13">
                  <c:v>9.4696969696969688</c:v>
                </c:pt>
                <c:pt idx="14">
                  <c:v>9.899683210137276</c:v>
                </c:pt>
                <c:pt idx="15">
                  <c:v>10.309278350515465</c:v>
                </c:pt>
              </c:numCache>
            </c:numRef>
          </c:val>
          <c:smooth val="0"/>
        </c:ser>
        <c:ser>
          <c:idx val="3"/>
          <c:order val="1"/>
          <c:tx>
            <c:v>Модифицированный Закон Амдала</c:v>
          </c:tx>
          <c:marker>
            <c:symbol val="none"/>
          </c:marker>
          <c:val>
            <c:numRef>
              <c:f>Лист1!$E$5:$E$20</c:f>
              <c:numCache>
                <c:formatCode>General</c:formatCode>
                <c:ptCount val="16"/>
                <c:pt idx="0">
                  <c:v>0.99999999999999989</c:v>
                </c:pt>
                <c:pt idx="1">
                  <c:v>1.9087539272612053</c:v>
                </c:pt>
                <c:pt idx="2">
                  <c:v>2.6548367142678888</c:v>
                </c:pt>
                <c:pt idx="3">
                  <c:v>3.4983015745855393</c:v>
                </c:pt>
                <c:pt idx="4">
                  <c:v>4.3584379358437939</c:v>
                </c:pt>
                <c:pt idx="5">
                  <c:v>4.3584379358437939</c:v>
                </c:pt>
                <c:pt idx="6">
                  <c:v>5.4338671202134421</c:v>
                </c:pt>
                <c:pt idx="7">
                  <c:v>5.4338671202134421</c:v>
                </c:pt>
                <c:pt idx="8">
                  <c:v>5.7794448265299643</c:v>
                </c:pt>
                <c:pt idx="9">
                  <c:v>7.213862157521894</c:v>
                </c:pt>
                <c:pt idx="10">
                  <c:v>7.213862157521894</c:v>
                </c:pt>
                <c:pt idx="11">
                  <c:v>7.213862157521894</c:v>
                </c:pt>
                <c:pt idx="12">
                  <c:v>7.8358852199532976</c:v>
                </c:pt>
                <c:pt idx="13">
                  <c:v>7.8358852199532976</c:v>
                </c:pt>
                <c:pt idx="14">
                  <c:v>7.8358852199532976</c:v>
                </c:pt>
                <c:pt idx="15">
                  <c:v>7.8358852199532976</c:v>
                </c:pt>
              </c:numCache>
            </c:numRef>
          </c:val>
          <c:smooth val="0"/>
        </c:ser>
        <c:ser>
          <c:idx val="4"/>
          <c:order val="2"/>
          <c:tx>
            <c:v>Результат</c:v>
          </c:tx>
          <c:marker>
            <c:symbol val="none"/>
          </c:marker>
          <c:val>
            <c:numRef>
              <c:f>Лист1!$F$5:$F$20</c:f>
              <c:numCache>
                <c:formatCode>0.00</c:formatCode>
                <c:ptCount val="16"/>
                <c:pt idx="0">
                  <c:v>1</c:v>
                </c:pt>
                <c:pt idx="1">
                  <c:v>1.9893214738254399</c:v>
                </c:pt>
                <c:pt idx="2">
                  <c:v>2.8658835151619302</c:v>
                </c:pt>
                <c:pt idx="3">
                  <c:v>3.6464914198273002</c:v>
                </c:pt>
                <c:pt idx="4">
                  <c:v>4.1332349084752096</c:v>
                </c:pt>
                <c:pt idx="5">
                  <c:v>4.1519673933334698</c:v>
                </c:pt>
                <c:pt idx="6">
                  <c:v>4.8337519016686397</c:v>
                </c:pt>
                <c:pt idx="7">
                  <c:v>5.1475576356833397</c:v>
                </c:pt>
                <c:pt idx="8">
                  <c:v>5.3993607207401597</c:v>
                </c:pt>
                <c:pt idx="9">
                  <c:v>6.5961643023083401</c:v>
                </c:pt>
                <c:pt idx="10">
                  <c:v>6.3533080475457497</c:v>
                </c:pt>
                <c:pt idx="11">
                  <c:v>6.34243754059663</c:v>
                </c:pt>
                <c:pt idx="12">
                  <c:v>6.7433802722005103</c:v>
                </c:pt>
                <c:pt idx="13">
                  <c:v>6.7429259583642098</c:v>
                </c:pt>
                <c:pt idx="14">
                  <c:v>7.2188142378015803</c:v>
                </c:pt>
                <c:pt idx="15">
                  <c:v>7.9638153968569698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430912"/>
        <c:axId val="78227136"/>
      </c:lineChart>
      <c:catAx>
        <c:axId val="57143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78227136"/>
        <c:crosses val="autoZero"/>
        <c:auto val="1"/>
        <c:lblAlgn val="ctr"/>
        <c:lblOffset val="100"/>
        <c:noMultiLvlLbl val="0"/>
      </c:catAx>
      <c:valAx>
        <c:axId val="7822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1430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Лист1!$E$89:$E$104</c:f>
              <c:numCache>
                <c:formatCode>General</c:formatCode>
                <c:ptCount val="16"/>
                <c:pt idx="0">
                  <c:v>1</c:v>
                </c:pt>
                <c:pt idx="1">
                  <c:v>0.99466073691271994</c:v>
                </c:pt>
                <c:pt idx="2">
                  <c:v>0.95529450505397673</c:v>
                </c:pt>
                <c:pt idx="3">
                  <c:v>0.91162285495682505</c:v>
                </c:pt>
                <c:pt idx="4">
                  <c:v>0.82664698169504192</c:v>
                </c:pt>
                <c:pt idx="5">
                  <c:v>0.69199456555557826</c:v>
                </c:pt>
                <c:pt idx="6">
                  <c:v>0.69053598595266286</c:v>
                </c:pt>
                <c:pt idx="7">
                  <c:v>0.64344470446041746</c:v>
                </c:pt>
                <c:pt idx="8">
                  <c:v>0.59992896897112891</c:v>
                </c:pt>
                <c:pt idx="9">
                  <c:v>0.65961643023083405</c:v>
                </c:pt>
                <c:pt idx="10">
                  <c:v>0.57757345886779543</c:v>
                </c:pt>
                <c:pt idx="11">
                  <c:v>0.5285364617163858</c:v>
                </c:pt>
                <c:pt idx="12">
                  <c:v>0.51872155940003928</c:v>
                </c:pt>
                <c:pt idx="13">
                  <c:v>0.48163756845458644</c:v>
                </c:pt>
                <c:pt idx="14">
                  <c:v>0.48125428252010533</c:v>
                </c:pt>
                <c:pt idx="15">
                  <c:v>0.49773846230356061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Лист1!$F$89:$F$104</c:f>
              <c:numCache>
                <c:formatCode>General</c:formatCode>
                <c:ptCount val="16"/>
                <c:pt idx="0">
                  <c:v>1</c:v>
                </c:pt>
                <c:pt idx="1">
                  <c:v>1.0312642520311079</c:v>
                </c:pt>
                <c:pt idx="2">
                  <c:v>1.0256041806259493</c:v>
                </c:pt>
                <c:pt idx="3">
                  <c:v>1.0122660181440586</c:v>
                </c:pt>
                <c:pt idx="4">
                  <c:v>0.94832941740055199</c:v>
                </c:pt>
                <c:pt idx="5">
                  <c:v>0.81932156561780456</c:v>
                </c:pt>
                <c:pt idx="6">
                  <c:v>0.84300633165101091</c:v>
                </c:pt>
                <c:pt idx="7">
                  <c:v>0.80919606032942093</c:v>
                </c:pt>
                <c:pt idx="8">
                  <c:v>0.77654805743622912</c:v>
                </c:pt>
                <c:pt idx="9">
                  <c:v>0.87808139192328627</c:v>
                </c:pt>
                <c:pt idx="10">
                  <c:v>0.79012049173114407</c:v>
                </c:pt>
                <c:pt idx="11">
                  <c:v>0.74248802141917869</c:v>
                </c:pt>
                <c:pt idx="12">
                  <c:v>0.74778900003109661</c:v>
                </c:pt>
                <c:pt idx="13">
                  <c:v>0.71205298120326066</c:v>
                </c:pt>
                <c:pt idx="14">
                  <c:v>0.72919648887446364</c:v>
                </c:pt>
                <c:pt idx="15">
                  <c:v>0.77249009349512598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Лист1!$G$89:$G$104</c:f>
              <c:numCache>
                <c:formatCode>General</c:formatCode>
                <c:ptCount val="16"/>
                <c:pt idx="0">
                  <c:v>1</c:v>
                </c:pt>
                <c:pt idx="1">
                  <c:v>1.0422094987800956</c:v>
                </c:pt>
                <c:pt idx="2">
                  <c:v>1.0794952095395594</c:v>
                </c:pt>
                <c:pt idx="3">
                  <c:v>1.042360511831893</c:v>
                </c:pt>
                <c:pt idx="4">
                  <c:v>0.94832941740055199</c:v>
                </c:pt>
                <c:pt idx="5">
                  <c:v>0.95262739872643121</c:v>
                </c:pt>
                <c:pt idx="6">
                  <c:v>0.88956019621598148</c:v>
                </c:pt>
                <c:pt idx="7">
                  <c:v>0.94731017925244076</c:v>
                </c:pt>
                <c:pt idx="8">
                  <c:v>0.93423518742750744</c:v>
                </c:pt>
                <c:pt idx="9">
                  <c:v>0.91437348791458672</c:v>
                </c:pt>
                <c:pt idx="10">
                  <c:v>0.88070826816688697</c:v>
                </c:pt>
                <c:pt idx="11">
                  <c:v>0.87920137675258603</c:v>
                </c:pt>
                <c:pt idx="12">
                  <c:v>0.86057670357768479</c:v>
                </c:pt>
                <c:pt idx="13">
                  <c:v>0.86051872495452375</c:v>
                </c:pt>
                <c:pt idx="14">
                  <c:v>0.92125063539976215</c:v>
                </c:pt>
                <c:pt idx="15">
                  <c:v>1.0163261933160928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432448"/>
        <c:axId val="78228864"/>
      </c:lineChart>
      <c:catAx>
        <c:axId val="571432448"/>
        <c:scaling>
          <c:orientation val="minMax"/>
        </c:scaling>
        <c:delete val="0"/>
        <c:axPos val="b"/>
        <c:majorTickMark val="out"/>
        <c:minorTickMark val="none"/>
        <c:tickLblPos val="nextTo"/>
        <c:crossAx val="78228864"/>
        <c:crosses val="autoZero"/>
        <c:auto val="1"/>
        <c:lblAlgn val="ctr"/>
        <c:lblOffset val="100"/>
        <c:noMultiLvlLbl val="0"/>
      </c:catAx>
      <c:valAx>
        <c:axId val="7822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1432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22</xdr:row>
      <xdr:rowOff>14287</xdr:rowOff>
    </xdr:from>
    <xdr:to>
      <xdr:col>10</xdr:col>
      <xdr:colOff>28575</xdr:colOff>
      <xdr:row>36</xdr:row>
      <xdr:rowOff>90487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390525</xdr:colOff>
      <xdr:row>21</xdr:row>
      <xdr:rowOff>157162</xdr:rowOff>
    </xdr:from>
    <xdr:to>
      <xdr:col>18</xdr:col>
      <xdr:colOff>85725</xdr:colOff>
      <xdr:row>36</xdr:row>
      <xdr:rowOff>42862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88</xdr:row>
      <xdr:rowOff>138112</xdr:rowOff>
    </xdr:from>
    <xdr:to>
      <xdr:col>15</xdr:col>
      <xdr:colOff>190500</xdr:colOff>
      <xdr:row>103</xdr:row>
      <xdr:rowOff>23812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"/>
  <sheetViews>
    <sheetView tabSelected="1" workbookViewId="0">
      <selection activeCell="H3" sqref="H3"/>
    </sheetView>
  </sheetViews>
  <sheetFormatPr defaultRowHeight="15" x14ac:dyDescent="0.25"/>
  <sheetData>
    <row r="1" spans="1:24" x14ac:dyDescent="0.25">
      <c r="A1" t="s">
        <v>0</v>
      </c>
      <c r="B1">
        <v>100</v>
      </c>
      <c r="C1" t="s">
        <v>27</v>
      </c>
      <c r="D1">
        <v>16</v>
      </c>
      <c r="E1" t="s">
        <v>7</v>
      </c>
      <c r="F1">
        <v>20</v>
      </c>
      <c r="G1" t="s">
        <v>9</v>
      </c>
      <c r="H1">
        <f>F1</f>
        <v>20</v>
      </c>
      <c r="I1" t="s">
        <v>11</v>
      </c>
      <c r="J1">
        <f>F1</f>
        <v>20</v>
      </c>
      <c r="K1" t="s">
        <v>12</v>
      </c>
      <c r="L1">
        <f>F2*F2</f>
        <v>25</v>
      </c>
      <c r="M1" t="s">
        <v>13</v>
      </c>
      <c r="N1">
        <f>F2*F2</f>
        <v>25</v>
      </c>
      <c r="O1" t="s">
        <v>14</v>
      </c>
      <c r="P1">
        <f>F2*F2</f>
        <v>25</v>
      </c>
      <c r="Q1" t="s">
        <v>15</v>
      </c>
      <c r="R1">
        <f>F2*F2</f>
        <v>25</v>
      </c>
      <c r="S1" t="s">
        <v>16</v>
      </c>
      <c r="T1">
        <f>F2*F2</f>
        <v>25</v>
      </c>
      <c r="U1" t="s">
        <v>17</v>
      </c>
      <c r="V1">
        <f>F1</f>
        <v>20</v>
      </c>
      <c r="W1" t="s">
        <v>18</v>
      </c>
      <c r="X1">
        <f>F1</f>
        <v>20</v>
      </c>
    </row>
    <row r="2" spans="1:24" x14ac:dyDescent="0.25">
      <c r="A2" t="s">
        <v>1</v>
      </c>
      <c r="B2">
        <v>3.68</v>
      </c>
      <c r="C2" t="s">
        <v>28</v>
      </c>
      <c r="D2">
        <v>1</v>
      </c>
      <c r="E2" t="s">
        <v>8</v>
      </c>
      <c r="F2">
        <v>5</v>
      </c>
      <c r="G2" t="s">
        <v>10</v>
      </c>
      <c r="H2">
        <v>6.83</v>
      </c>
      <c r="I2" t="s">
        <v>19</v>
      </c>
      <c r="J2">
        <v>56.78</v>
      </c>
      <c r="K2" t="s">
        <v>20</v>
      </c>
      <c r="L2">
        <v>20.25</v>
      </c>
      <c r="M2" t="s">
        <v>21</v>
      </c>
      <c r="N2">
        <v>0.48</v>
      </c>
      <c r="O2" t="s">
        <v>22</v>
      </c>
      <c r="P2">
        <v>2.58</v>
      </c>
      <c r="Q2" t="s">
        <v>23</v>
      </c>
      <c r="R2">
        <v>0.84</v>
      </c>
      <c r="S2" t="s">
        <v>24</v>
      </c>
      <c r="T2">
        <v>3.36</v>
      </c>
      <c r="U2" t="s">
        <v>25</v>
      </c>
      <c r="V2">
        <v>3.11</v>
      </c>
      <c r="W2" t="s">
        <v>26</v>
      </c>
      <c r="X2">
        <v>2.09</v>
      </c>
    </row>
    <row r="3" spans="1:24" x14ac:dyDescent="0.25">
      <c r="A3" t="s">
        <v>2</v>
      </c>
      <c r="B3">
        <v>96.32</v>
      </c>
    </row>
    <row r="4" spans="1:24" x14ac:dyDescent="0.25">
      <c r="A4" t="s">
        <v>3</v>
      </c>
      <c r="B4" t="s">
        <v>5</v>
      </c>
      <c r="C4" t="s">
        <v>4</v>
      </c>
      <c r="D4" t="s">
        <v>6</v>
      </c>
      <c r="E4" t="s">
        <v>6</v>
      </c>
    </row>
    <row r="5" spans="1:24" x14ac:dyDescent="0.25">
      <c r="A5">
        <v>1</v>
      </c>
      <c r="B5">
        <f t="shared" ref="B5:B11" si="0">B$1/ROUNDUP(B$1/A5,0)</f>
        <v>1</v>
      </c>
      <c r="C5">
        <f>100/(B$2+B$3/A5)</f>
        <v>1</v>
      </c>
      <c r="D5">
        <f>100/(B$2+B$3/B5)</f>
        <v>1</v>
      </c>
      <c r="E5">
        <f>100/(B$2+H$2/H5+J$2/J5+L$2/L5+N$2/N5+P$2/P5+R$2/R5+T$2/T5+V$2/V5+X$2/X5)</f>
        <v>0.99999999999999989</v>
      </c>
      <c r="F5" s="1">
        <v>1</v>
      </c>
      <c r="H5">
        <f>H$1/ROUNDUP(H$1/MIN(A5,D$1*D$2),0)</f>
        <v>1</v>
      </c>
      <c r="J5">
        <f>J$1/ROUNDUP(J$1/MIN(A5,D$1*D$2),0)</f>
        <v>1</v>
      </c>
      <c r="L5">
        <f>L$1/ROUNDUP(L$1/MIN(A5,D$1),0)</f>
        <v>1</v>
      </c>
      <c r="N5">
        <f>N$1/ROUNDUP(N$1/MIN(A5,D$1),0)</f>
        <v>1</v>
      </c>
      <c r="P5">
        <f>P$1/ROUNDUP(P$1/MIN(A5,D$1),0)</f>
        <v>1</v>
      </c>
      <c r="R5">
        <f>R$1/ROUNDUP(R$1/MIN(A5,D$1),0)</f>
        <v>1</v>
      </c>
      <c r="T5">
        <f>T$1/ROUNDUP(T$1/MIN(A5,D$1),0)</f>
        <v>1</v>
      </c>
      <c r="V5">
        <f>V$1/ROUNDUP(V$1/MIN(A5,D$1),0)</f>
        <v>1</v>
      </c>
      <c r="X5">
        <f>X$1/ROUNDUP(X$1/MIN(A5,D$1),0)</f>
        <v>1</v>
      </c>
    </row>
    <row r="6" spans="1:24" x14ac:dyDescent="0.25">
      <c r="A6">
        <v>2</v>
      </c>
      <c r="B6">
        <f t="shared" si="0"/>
        <v>2</v>
      </c>
      <c r="C6">
        <f>100/(B$2+B$3/A6)</f>
        <v>1.9290123456790125</v>
      </c>
      <c r="D6">
        <f t="shared" ref="D6:D69" si="1">100/(B$2+B$3/B6)</f>
        <v>1.9290123456790125</v>
      </c>
      <c r="E6">
        <f t="shared" ref="E6:E18" si="2">100/(B$2+H$2/H6+J$2/J6+L$2/L6+N$2/N6+P$2/P6+R$2/R6+T$2/T6+V$2/V6+X$2/X6)</f>
        <v>1.9087539272612053</v>
      </c>
      <c r="F6" s="1">
        <v>1.9893214738254399</v>
      </c>
      <c r="H6">
        <f>H$1/ROUNDUP(H$1/MIN(A6,D$1*D$2),0)</f>
        <v>2</v>
      </c>
      <c r="J6">
        <f t="shared" ref="J6:J69" si="3">J$1/ROUNDUP(J$1/MIN(A6,D$1*D$2),0)</f>
        <v>2</v>
      </c>
      <c r="L6">
        <f t="shared" ref="L6:L69" si="4">L$1/ROUNDUP(L$1/MIN(A6,D$1),0)</f>
        <v>1.9230769230769231</v>
      </c>
      <c r="N6">
        <f t="shared" ref="N6:N69" si="5">N$1/ROUNDUP(N$1/MIN(A6,D$1),0)</f>
        <v>1.9230769230769231</v>
      </c>
      <c r="P6">
        <f t="shared" ref="P6:P69" si="6">P$1/ROUNDUP(P$1/MIN(A6,D$1),0)</f>
        <v>1.9230769230769231</v>
      </c>
      <c r="R6">
        <f t="shared" ref="R6:R69" si="7">R$1/ROUNDUP(R$1/MIN(A6,D$1),0)</f>
        <v>1.9230769230769231</v>
      </c>
      <c r="T6">
        <f t="shared" ref="T6:T69" si="8">T$1/ROUNDUP(T$1/MIN(A6,D$1),0)</f>
        <v>1.9230769230769231</v>
      </c>
      <c r="V6">
        <f t="shared" ref="V6:V69" si="9">V$1/ROUNDUP(V$1/MIN(A6,D$1),0)</f>
        <v>2</v>
      </c>
      <c r="X6">
        <f t="shared" ref="X6:X69" si="10">X$1/ROUNDUP(X$1/MIN(A6,D$1),0)</f>
        <v>2</v>
      </c>
    </row>
    <row r="7" spans="1:24" x14ac:dyDescent="0.25">
      <c r="A7">
        <v>3</v>
      </c>
      <c r="B7">
        <f t="shared" si="0"/>
        <v>2.9411764705882355</v>
      </c>
      <c r="C7">
        <f t="shared" ref="C7:C70" si="11">100/(B$2+B$3/A7)</f>
        <v>2.7943368107302535</v>
      </c>
      <c r="D7">
        <f t="shared" si="1"/>
        <v>2.7450808151791994</v>
      </c>
      <c r="E7">
        <f t="shared" si="2"/>
        <v>2.6548367142678888</v>
      </c>
      <c r="F7" s="1">
        <v>2.8658835151619302</v>
      </c>
      <c r="H7">
        <f t="shared" ref="H7:H41" si="12">H$1/ROUNDUP(H$1/MIN(A7,D$1*D$2),0)</f>
        <v>2.8571428571428572</v>
      </c>
      <c r="J7">
        <f t="shared" si="3"/>
        <v>2.8571428571428572</v>
      </c>
      <c r="L7">
        <f t="shared" si="4"/>
        <v>2.7777777777777777</v>
      </c>
      <c r="N7">
        <f t="shared" si="5"/>
        <v>2.7777777777777777</v>
      </c>
      <c r="P7">
        <f t="shared" si="6"/>
        <v>2.7777777777777777</v>
      </c>
      <c r="R7">
        <f t="shared" si="7"/>
        <v>2.7777777777777777</v>
      </c>
      <c r="T7">
        <f t="shared" si="8"/>
        <v>2.7777777777777777</v>
      </c>
      <c r="V7">
        <f t="shared" si="9"/>
        <v>2.8571428571428572</v>
      </c>
      <c r="X7">
        <f t="shared" si="10"/>
        <v>2.8571428571428572</v>
      </c>
    </row>
    <row r="8" spans="1:24" x14ac:dyDescent="0.25">
      <c r="A8">
        <v>4</v>
      </c>
      <c r="B8">
        <f t="shared" si="0"/>
        <v>4</v>
      </c>
      <c r="C8">
        <f t="shared" si="11"/>
        <v>3.6023054755043229</v>
      </c>
      <c r="D8">
        <f t="shared" si="1"/>
        <v>3.6023054755043229</v>
      </c>
      <c r="E8">
        <f t="shared" si="2"/>
        <v>3.4983015745855393</v>
      </c>
      <c r="F8" s="1">
        <v>3.6464914198273002</v>
      </c>
      <c r="H8">
        <f t="shared" si="12"/>
        <v>4</v>
      </c>
      <c r="J8">
        <f t="shared" si="3"/>
        <v>4</v>
      </c>
      <c r="L8">
        <f t="shared" si="4"/>
        <v>3.5714285714285716</v>
      </c>
      <c r="N8">
        <f t="shared" si="5"/>
        <v>3.5714285714285716</v>
      </c>
      <c r="P8">
        <f t="shared" si="6"/>
        <v>3.5714285714285716</v>
      </c>
      <c r="R8">
        <f t="shared" si="7"/>
        <v>3.5714285714285716</v>
      </c>
      <c r="T8">
        <f t="shared" si="8"/>
        <v>3.5714285714285716</v>
      </c>
      <c r="V8">
        <f t="shared" si="9"/>
        <v>4</v>
      </c>
      <c r="X8">
        <f t="shared" si="10"/>
        <v>4</v>
      </c>
    </row>
    <row r="9" spans="1:24" x14ac:dyDescent="0.25">
      <c r="A9">
        <v>5</v>
      </c>
      <c r="B9">
        <f t="shared" si="0"/>
        <v>5</v>
      </c>
      <c r="C9">
        <f t="shared" si="11"/>
        <v>4.3584379358437939</v>
      </c>
      <c r="D9">
        <f t="shared" si="1"/>
        <v>4.3584379358437939</v>
      </c>
      <c r="E9">
        <f t="shared" si="2"/>
        <v>4.3584379358437939</v>
      </c>
      <c r="F9" s="1">
        <v>4.1332349084752096</v>
      </c>
      <c r="H9">
        <f t="shared" si="12"/>
        <v>5</v>
      </c>
      <c r="J9">
        <f t="shared" si="3"/>
        <v>5</v>
      </c>
      <c r="L9">
        <f t="shared" si="4"/>
        <v>5</v>
      </c>
      <c r="N9">
        <f t="shared" si="5"/>
        <v>5</v>
      </c>
      <c r="P9">
        <f t="shared" si="6"/>
        <v>5</v>
      </c>
      <c r="R9">
        <f t="shared" si="7"/>
        <v>5</v>
      </c>
      <c r="T9">
        <f t="shared" si="8"/>
        <v>5</v>
      </c>
      <c r="V9">
        <f t="shared" si="9"/>
        <v>5</v>
      </c>
      <c r="X9">
        <f t="shared" si="10"/>
        <v>5</v>
      </c>
    </row>
    <row r="10" spans="1:24" x14ac:dyDescent="0.25">
      <c r="A10">
        <v>6</v>
      </c>
      <c r="B10">
        <f t="shared" si="0"/>
        <v>5.882352941176471</v>
      </c>
      <c r="C10">
        <f t="shared" si="11"/>
        <v>5.0675675675675684</v>
      </c>
      <c r="D10">
        <f t="shared" si="1"/>
        <v>4.9864368916546997</v>
      </c>
      <c r="E10">
        <f t="shared" si="2"/>
        <v>4.3584379358437939</v>
      </c>
      <c r="F10" s="1">
        <v>4.1519673933334698</v>
      </c>
      <c r="H10">
        <f t="shared" si="12"/>
        <v>5</v>
      </c>
      <c r="J10">
        <f t="shared" si="3"/>
        <v>5</v>
      </c>
      <c r="L10">
        <f t="shared" si="4"/>
        <v>5</v>
      </c>
      <c r="N10">
        <f t="shared" si="5"/>
        <v>5</v>
      </c>
      <c r="P10">
        <f t="shared" si="6"/>
        <v>5</v>
      </c>
      <c r="R10">
        <f t="shared" si="7"/>
        <v>5</v>
      </c>
      <c r="T10">
        <f t="shared" si="8"/>
        <v>5</v>
      </c>
      <c r="V10">
        <f t="shared" si="9"/>
        <v>5</v>
      </c>
      <c r="X10">
        <f t="shared" si="10"/>
        <v>5</v>
      </c>
    </row>
    <row r="11" spans="1:24" x14ac:dyDescent="0.25">
      <c r="A11">
        <v>7</v>
      </c>
      <c r="B11">
        <f t="shared" si="0"/>
        <v>6.666666666666667</v>
      </c>
      <c r="C11">
        <f t="shared" si="11"/>
        <v>5.7339449541284395</v>
      </c>
      <c r="D11">
        <f t="shared" si="1"/>
        <v>5.5163283318623124</v>
      </c>
      <c r="E11">
        <f t="shared" si="2"/>
        <v>5.4338671202134421</v>
      </c>
      <c r="F11" s="1">
        <v>4.8337519016686397</v>
      </c>
      <c r="H11">
        <f t="shared" si="12"/>
        <v>6.666666666666667</v>
      </c>
      <c r="J11">
        <f t="shared" si="3"/>
        <v>6.666666666666667</v>
      </c>
      <c r="L11">
        <f t="shared" si="4"/>
        <v>6.25</v>
      </c>
      <c r="N11">
        <f t="shared" si="5"/>
        <v>6.25</v>
      </c>
      <c r="P11">
        <f t="shared" si="6"/>
        <v>6.25</v>
      </c>
      <c r="R11">
        <f t="shared" si="7"/>
        <v>6.25</v>
      </c>
      <c r="T11">
        <f t="shared" si="8"/>
        <v>6.25</v>
      </c>
      <c r="V11">
        <f t="shared" si="9"/>
        <v>6.666666666666667</v>
      </c>
      <c r="X11">
        <f t="shared" si="10"/>
        <v>6.666666666666667</v>
      </c>
    </row>
    <row r="12" spans="1:24" x14ac:dyDescent="0.25">
      <c r="A12">
        <v>8</v>
      </c>
      <c r="B12">
        <f t="shared" ref="B12:B75" si="13">B$1/ROUNDUP(B$1/A12,0)</f>
        <v>7.6923076923076925</v>
      </c>
      <c r="C12">
        <f t="shared" si="11"/>
        <v>6.3613231552162857</v>
      </c>
      <c r="D12">
        <f t="shared" si="1"/>
        <v>6.1722299032194359</v>
      </c>
      <c r="E12">
        <f t="shared" si="2"/>
        <v>5.4338671202134421</v>
      </c>
      <c r="F12" s="1">
        <v>5.1475576356833397</v>
      </c>
      <c r="H12">
        <f t="shared" si="12"/>
        <v>6.666666666666667</v>
      </c>
      <c r="J12">
        <f t="shared" si="3"/>
        <v>6.666666666666667</v>
      </c>
      <c r="L12">
        <f t="shared" si="4"/>
        <v>6.25</v>
      </c>
      <c r="N12">
        <f t="shared" si="5"/>
        <v>6.25</v>
      </c>
      <c r="P12">
        <f t="shared" si="6"/>
        <v>6.25</v>
      </c>
      <c r="R12">
        <f t="shared" si="7"/>
        <v>6.25</v>
      </c>
      <c r="T12">
        <f t="shared" si="8"/>
        <v>6.25</v>
      </c>
      <c r="V12">
        <f t="shared" si="9"/>
        <v>6.666666666666667</v>
      </c>
      <c r="X12">
        <f t="shared" si="10"/>
        <v>6.666666666666667</v>
      </c>
    </row>
    <row r="13" spans="1:24" x14ac:dyDescent="0.25">
      <c r="A13">
        <v>9</v>
      </c>
      <c r="B13">
        <f t="shared" si="13"/>
        <v>8.3333333333333339</v>
      </c>
      <c r="C13">
        <f t="shared" si="11"/>
        <v>6.9530284301606926</v>
      </c>
      <c r="D13">
        <f t="shared" si="1"/>
        <v>6.5623687526249483</v>
      </c>
      <c r="E13">
        <f t="shared" si="2"/>
        <v>5.7794448265299643</v>
      </c>
      <c r="F13" s="1">
        <v>5.3993607207401597</v>
      </c>
      <c r="H13">
        <f t="shared" si="12"/>
        <v>6.666666666666667</v>
      </c>
      <c r="J13">
        <f t="shared" si="3"/>
        <v>6.666666666666667</v>
      </c>
      <c r="L13">
        <f t="shared" si="4"/>
        <v>8.3333333333333339</v>
      </c>
      <c r="N13">
        <f t="shared" si="5"/>
        <v>8.3333333333333339</v>
      </c>
      <c r="P13">
        <f t="shared" si="6"/>
        <v>8.3333333333333339</v>
      </c>
      <c r="R13">
        <f t="shared" si="7"/>
        <v>8.3333333333333339</v>
      </c>
      <c r="T13">
        <f t="shared" si="8"/>
        <v>8.3333333333333339</v>
      </c>
      <c r="V13">
        <f t="shared" si="9"/>
        <v>6.666666666666667</v>
      </c>
      <c r="X13">
        <f t="shared" si="10"/>
        <v>6.666666666666667</v>
      </c>
    </row>
    <row r="14" spans="1:24" x14ac:dyDescent="0.25">
      <c r="A14">
        <v>10</v>
      </c>
      <c r="B14">
        <f t="shared" si="13"/>
        <v>10</v>
      </c>
      <c r="C14">
        <f t="shared" si="11"/>
        <v>7.5120192307692308</v>
      </c>
      <c r="D14">
        <f t="shared" si="1"/>
        <v>7.5120192307692308</v>
      </c>
      <c r="E14">
        <f t="shared" si="2"/>
        <v>7.213862157521894</v>
      </c>
      <c r="F14" s="1">
        <v>6.5961643023083401</v>
      </c>
      <c r="H14">
        <f t="shared" si="12"/>
        <v>10</v>
      </c>
      <c r="J14">
        <f t="shared" si="3"/>
        <v>10</v>
      </c>
      <c r="L14">
        <f t="shared" si="4"/>
        <v>8.3333333333333339</v>
      </c>
      <c r="N14">
        <f t="shared" si="5"/>
        <v>8.3333333333333339</v>
      </c>
      <c r="P14">
        <f t="shared" si="6"/>
        <v>8.3333333333333339</v>
      </c>
      <c r="R14">
        <f t="shared" si="7"/>
        <v>8.3333333333333339</v>
      </c>
      <c r="T14">
        <f t="shared" si="8"/>
        <v>8.3333333333333339</v>
      </c>
      <c r="V14">
        <f t="shared" si="9"/>
        <v>10</v>
      </c>
      <c r="X14">
        <f t="shared" si="10"/>
        <v>10</v>
      </c>
    </row>
    <row r="15" spans="1:24" x14ac:dyDescent="0.25">
      <c r="A15">
        <v>11</v>
      </c>
      <c r="B15">
        <f t="shared" si="13"/>
        <v>10</v>
      </c>
      <c r="C15">
        <f t="shared" si="11"/>
        <v>8.040935672514621</v>
      </c>
      <c r="D15">
        <f t="shared" si="1"/>
        <v>7.5120192307692308</v>
      </c>
      <c r="E15">
        <f t="shared" si="2"/>
        <v>7.213862157521894</v>
      </c>
      <c r="F15" s="1">
        <v>6.3533080475457497</v>
      </c>
      <c r="H15">
        <f t="shared" si="12"/>
        <v>10</v>
      </c>
      <c r="J15">
        <f t="shared" si="3"/>
        <v>10</v>
      </c>
      <c r="L15">
        <f t="shared" si="4"/>
        <v>8.3333333333333339</v>
      </c>
      <c r="N15">
        <f t="shared" si="5"/>
        <v>8.3333333333333339</v>
      </c>
      <c r="P15">
        <f t="shared" si="6"/>
        <v>8.3333333333333339</v>
      </c>
      <c r="R15">
        <f t="shared" si="7"/>
        <v>8.3333333333333339</v>
      </c>
      <c r="T15">
        <f t="shared" si="8"/>
        <v>8.3333333333333339</v>
      </c>
      <c r="V15">
        <f t="shared" si="9"/>
        <v>10</v>
      </c>
      <c r="X15">
        <f t="shared" si="10"/>
        <v>10</v>
      </c>
    </row>
    <row r="16" spans="1:24" x14ac:dyDescent="0.25">
      <c r="A16">
        <v>12</v>
      </c>
      <c r="B16">
        <f t="shared" si="13"/>
        <v>11.111111111111111</v>
      </c>
      <c r="C16">
        <f t="shared" si="11"/>
        <v>8.5421412300683386</v>
      </c>
      <c r="D16">
        <f t="shared" si="1"/>
        <v>8.0979528375226746</v>
      </c>
      <c r="E16">
        <f t="shared" si="2"/>
        <v>7.213862157521894</v>
      </c>
      <c r="F16" s="1">
        <v>6.34243754059663</v>
      </c>
      <c r="H16">
        <f t="shared" si="12"/>
        <v>10</v>
      </c>
      <c r="J16">
        <f t="shared" si="3"/>
        <v>10</v>
      </c>
      <c r="L16">
        <f t="shared" si="4"/>
        <v>8.3333333333333339</v>
      </c>
      <c r="N16">
        <f t="shared" si="5"/>
        <v>8.3333333333333339</v>
      </c>
      <c r="P16">
        <f t="shared" si="6"/>
        <v>8.3333333333333339</v>
      </c>
      <c r="R16">
        <f t="shared" si="7"/>
        <v>8.3333333333333339</v>
      </c>
      <c r="T16">
        <f t="shared" si="8"/>
        <v>8.3333333333333339</v>
      </c>
      <c r="V16">
        <f t="shared" si="9"/>
        <v>10</v>
      </c>
      <c r="X16">
        <f t="shared" si="10"/>
        <v>10</v>
      </c>
    </row>
    <row r="17" spans="1:24" x14ac:dyDescent="0.25">
      <c r="A17">
        <v>13</v>
      </c>
      <c r="B17">
        <f t="shared" si="13"/>
        <v>12.5</v>
      </c>
      <c r="C17">
        <f t="shared" si="11"/>
        <v>9.0177580466148726</v>
      </c>
      <c r="D17">
        <f t="shared" si="1"/>
        <v>8.7830241708825181</v>
      </c>
      <c r="E17">
        <f t="shared" si="2"/>
        <v>7.8358852199532976</v>
      </c>
      <c r="F17" s="1">
        <v>6.7433802722005103</v>
      </c>
      <c r="H17">
        <f t="shared" si="12"/>
        <v>10</v>
      </c>
      <c r="J17">
        <f t="shared" si="3"/>
        <v>10</v>
      </c>
      <c r="L17">
        <f t="shared" si="4"/>
        <v>12.5</v>
      </c>
      <c r="N17">
        <f t="shared" si="5"/>
        <v>12.5</v>
      </c>
      <c r="P17">
        <f t="shared" si="6"/>
        <v>12.5</v>
      </c>
      <c r="R17">
        <f t="shared" si="7"/>
        <v>12.5</v>
      </c>
      <c r="T17">
        <f t="shared" si="8"/>
        <v>12.5</v>
      </c>
      <c r="V17">
        <f t="shared" si="9"/>
        <v>10</v>
      </c>
      <c r="X17">
        <f t="shared" si="10"/>
        <v>10</v>
      </c>
    </row>
    <row r="18" spans="1:24" x14ac:dyDescent="0.25">
      <c r="A18">
        <v>14</v>
      </c>
      <c r="B18">
        <f t="shared" si="13"/>
        <v>12.5</v>
      </c>
      <c r="C18">
        <f t="shared" si="11"/>
        <v>9.4696969696969688</v>
      </c>
      <c r="D18">
        <f t="shared" si="1"/>
        <v>8.7830241708825181</v>
      </c>
      <c r="E18">
        <f t="shared" si="2"/>
        <v>7.8358852199532976</v>
      </c>
      <c r="F18" s="1">
        <v>6.7429259583642098</v>
      </c>
      <c r="H18">
        <f t="shared" si="12"/>
        <v>10</v>
      </c>
      <c r="J18">
        <f t="shared" si="3"/>
        <v>10</v>
      </c>
      <c r="L18">
        <f t="shared" si="4"/>
        <v>12.5</v>
      </c>
      <c r="N18">
        <f t="shared" si="5"/>
        <v>12.5</v>
      </c>
      <c r="P18">
        <f t="shared" si="6"/>
        <v>12.5</v>
      </c>
      <c r="R18">
        <f t="shared" si="7"/>
        <v>12.5</v>
      </c>
      <c r="T18">
        <f t="shared" si="8"/>
        <v>12.5</v>
      </c>
      <c r="V18">
        <f t="shared" si="9"/>
        <v>10</v>
      </c>
      <c r="X18">
        <f t="shared" si="10"/>
        <v>10</v>
      </c>
    </row>
    <row r="19" spans="1:24" x14ac:dyDescent="0.25">
      <c r="A19">
        <v>15</v>
      </c>
      <c r="B19">
        <f t="shared" si="13"/>
        <v>14.285714285714286</v>
      </c>
      <c r="C19">
        <f t="shared" si="11"/>
        <v>9.899683210137276</v>
      </c>
      <c r="D19">
        <f t="shared" si="1"/>
        <v>9.5947190666257303</v>
      </c>
      <c r="E19">
        <f>100/(B$2+H$2/H19+J$2/J19+L$2/L19+N$2/N19+P$2/P19+R$2/R19+T$2/T19+V$2/V19+X$2/X19)</f>
        <v>7.8358852199532976</v>
      </c>
      <c r="F19" s="1">
        <v>7.2188142378015803</v>
      </c>
      <c r="H19">
        <f t="shared" si="12"/>
        <v>10</v>
      </c>
      <c r="J19">
        <f t="shared" si="3"/>
        <v>10</v>
      </c>
      <c r="L19">
        <f t="shared" si="4"/>
        <v>12.5</v>
      </c>
      <c r="N19">
        <f t="shared" si="5"/>
        <v>12.5</v>
      </c>
      <c r="P19">
        <f t="shared" si="6"/>
        <v>12.5</v>
      </c>
      <c r="R19">
        <f t="shared" si="7"/>
        <v>12.5</v>
      </c>
      <c r="T19">
        <f t="shared" si="8"/>
        <v>12.5</v>
      </c>
      <c r="V19">
        <f t="shared" si="9"/>
        <v>10</v>
      </c>
      <c r="X19">
        <f t="shared" si="10"/>
        <v>10</v>
      </c>
    </row>
    <row r="20" spans="1:24" x14ac:dyDescent="0.25">
      <c r="A20">
        <v>16</v>
      </c>
      <c r="B20">
        <f t="shared" si="13"/>
        <v>14.285714285714286</v>
      </c>
      <c r="C20">
        <f t="shared" si="11"/>
        <v>10.309278350515465</v>
      </c>
      <c r="D20">
        <f t="shared" si="1"/>
        <v>9.5947190666257303</v>
      </c>
      <c r="E20">
        <f>100/(B$2+H$2/H20+J$2/J20+L$2/L20+N$2/N20+P$2/P20+R$2/R20+T$2/T20+V$2/V20+X$2/X20)</f>
        <v>7.8358852199532976</v>
      </c>
      <c r="F20" s="1">
        <v>7.9638153968569698</v>
      </c>
      <c r="H20">
        <f t="shared" si="12"/>
        <v>10</v>
      </c>
      <c r="J20">
        <f t="shared" si="3"/>
        <v>10</v>
      </c>
      <c r="L20">
        <f t="shared" si="4"/>
        <v>12.5</v>
      </c>
      <c r="N20">
        <f t="shared" si="5"/>
        <v>12.5</v>
      </c>
      <c r="P20">
        <f t="shared" si="6"/>
        <v>12.5</v>
      </c>
      <c r="R20">
        <f t="shared" si="7"/>
        <v>12.5</v>
      </c>
      <c r="T20">
        <f t="shared" si="8"/>
        <v>12.5</v>
      </c>
      <c r="V20">
        <f t="shared" si="9"/>
        <v>10</v>
      </c>
      <c r="X20">
        <f t="shared" si="10"/>
        <v>10</v>
      </c>
    </row>
    <row r="21" spans="1:24" x14ac:dyDescent="0.25">
      <c r="A21">
        <v>17</v>
      </c>
      <c r="B21">
        <f t="shared" si="13"/>
        <v>16.666666666666668</v>
      </c>
      <c r="C21">
        <f t="shared" si="11"/>
        <v>10.699899295065459</v>
      </c>
      <c r="D21">
        <f t="shared" si="1"/>
        <v>10.57171853856563</v>
      </c>
      <c r="E21">
        <f t="shared" ref="E21:E40" si="14">100/(B$2+H$2/H21+J$2/J21+L$2/L21+N$2/N21+P$2/P21+R$2/R21+T$2/T21+V$2/V21+X$2/X21)</f>
        <v>7.8358852199532976</v>
      </c>
      <c r="H21">
        <f t="shared" si="12"/>
        <v>10</v>
      </c>
      <c r="J21">
        <f t="shared" si="3"/>
        <v>10</v>
      </c>
      <c r="L21">
        <f t="shared" si="4"/>
        <v>12.5</v>
      </c>
      <c r="N21">
        <f t="shared" si="5"/>
        <v>12.5</v>
      </c>
      <c r="P21">
        <f t="shared" si="6"/>
        <v>12.5</v>
      </c>
      <c r="R21">
        <f t="shared" si="7"/>
        <v>12.5</v>
      </c>
      <c r="T21">
        <f t="shared" si="8"/>
        <v>12.5</v>
      </c>
      <c r="V21">
        <f t="shared" si="9"/>
        <v>10</v>
      </c>
      <c r="X21">
        <f t="shared" si="10"/>
        <v>10</v>
      </c>
    </row>
    <row r="22" spans="1:24" x14ac:dyDescent="0.25">
      <c r="A22">
        <v>18</v>
      </c>
      <c r="B22">
        <f t="shared" si="13"/>
        <v>16.666666666666668</v>
      </c>
      <c r="C22">
        <f t="shared" si="11"/>
        <v>11.072834645669293</v>
      </c>
      <c r="D22">
        <f t="shared" si="1"/>
        <v>10.57171853856563</v>
      </c>
      <c r="E22">
        <f t="shared" si="14"/>
        <v>7.8358852199532976</v>
      </c>
      <c r="H22">
        <f t="shared" si="12"/>
        <v>10</v>
      </c>
      <c r="J22">
        <f t="shared" si="3"/>
        <v>10</v>
      </c>
      <c r="L22">
        <f t="shared" si="4"/>
        <v>12.5</v>
      </c>
      <c r="N22">
        <f t="shared" si="5"/>
        <v>12.5</v>
      </c>
      <c r="P22">
        <f t="shared" si="6"/>
        <v>12.5</v>
      </c>
      <c r="R22">
        <f t="shared" si="7"/>
        <v>12.5</v>
      </c>
      <c r="T22">
        <f t="shared" si="8"/>
        <v>12.5</v>
      </c>
      <c r="V22">
        <f t="shared" si="9"/>
        <v>10</v>
      </c>
      <c r="X22">
        <f t="shared" si="10"/>
        <v>10</v>
      </c>
    </row>
    <row r="23" spans="1:24" x14ac:dyDescent="0.25">
      <c r="A23">
        <v>19</v>
      </c>
      <c r="B23">
        <f t="shared" si="13"/>
        <v>16.666666666666668</v>
      </c>
      <c r="C23">
        <f t="shared" si="11"/>
        <v>11.429258902791146</v>
      </c>
      <c r="D23">
        <f t="shared" si="1"/>
        <v>10.57171853856563</v>
      </c>
      <c r="E23">
        <f t="shared" si="14"/>
        <v>7.8358852199532976</v>
      </c>
      <c r="H23">
        <f t="shared" si="12"/>
        <v>10</v>
      </c>
      <c r="J23">
        <f t="shared" si="3"/>
        <v>10</v>
      </c>
      <c r="L23">
        <f t="shared" si="4"/>
        <v>12.5</v>
      </c>
      <c r="N23">
        <f t="shared" si="5"/>
        <v>12.5</v>
      </c>
      <c r="P23">
        <f t="shared" si="6"/>
        <v>12.5</v>
      </c>
      <c r="R23">
        <f t="shared" si="7"/>
        <v>12.5</v>
      </c>
      <c r="T23">
        <f t="shared" si="8"/>
        <v>12.5</v>
      </c>
      <c r="V23">
        <f t="shared" si="9"/>
        <v>10</v>
      </c>
      <c r="X23">
        <f t="shared" si="10"/>
        <v>10</v>
      </c>
    </row>
    <row r="24" spans="1:24" x14ac:dyDescent="0.25">
      <c r="A24">
        <v>20</v>
      </c>
      <c r="B24">
        <f t="shared" si="13"/>
        <v>20</v>
      </c>
      <c r="C24">
        <f t="shared" si="11"/>
        <v>11.770244821092279</v>
      </c>
      <c r="D24">
        <f t="shared" si="1"/>
        <v>11.770244821092279</v>
      </c>
      <c r="E24">
        <f t="shared" si="14"/>
        <v>7.8358852199532976</v>
      </c>
      <c r="H24">
        <f t="shared" si="12"/>
        <v>10</v>
      </c>
      <c r="J24">
        <f t="shared" si="3"/>
        <v>10</v>
      </c>
      <c r="L24">
        <f t="shared" si="4"/>
        <v>12.5</v>
      </c>
      <c r="N24">
        <f t="shared" si="5"/>
        <v>12.5</v>
      </c>
      <c r="P24">
        <f t="shared" si="6"/>
        <v>12.5</v>
      </c>
      <c r="R24">
        <f t="shared" si="7"/>
        <v>12.5</v>
      </c>
      <c r="T24">
        <f t="shared" si="8"/>
        <v>12.5</v>
      </c>
      <c r="V24">
        <f t="shared" si="9"/>
        <v>10</v>
      </c>
      <c r="X24">
        <f t="shared" si="10"/>
        <v>10</v>
      </c>
    </row>
    <row r="25" spans="1:24" x14ac:dyDescent="0.25">
      <c r="A25">
        <v>21</v>
      </c>
      <c r="B25">
        <f t="shared" si="13"/>
        <v>20</v>
      </c>
      <c r="C25">
        <f t="shared" si="11"/>
        <v>12.096774193548388</v>
      </c>
      <c r="D25">
        <f t="shared" si="1"/>
        <v>11.770244821092279</v>
      </c>
      <c r="E25">
        <f t="shared" si="14"/>
        <v>7.8358852199532976</v>
      </c>
      <c r="H25">
        <f t="shared" si="12"/>
        <v>10</v>
      </c>
      <c r="J25">
        <f t="shared" si="3"/>
        <v>10</v>
      </c>
      <c r="L25">
        <f t="shared" si="4"/>
        <v>12.5</v>
      </c>
      <c r="N25">
        <f t="shared" si="5"/>
        <v>12.5</v>
      </c>
      <c r="P25">
        <f t="shared" si="6"/>
        <v>12.5</v>
      </c>
      <c r="R25">
        <f t="shared" si="7"/>
        <v>12.5</v>
      </c>
      <c r="T25">
        <f t="shared" si="8"/>
        <v>12.5</v>
      </c>
      <c r="V25">
        <f t="shared" si="9"/>
        <v>10</v>
      </c>
      <c r="X25">
        <f t="shared" si="10"/>
        <v>10</v>
      </c>
    </row>
    <row r="26" spans="1:24" x14ac:dyDescent="0.25">
      <c r="A26">
        <v>22</v>
      </c>
      <c r="B26">
        <f t="shared" si="13"/>
        <v>20</v>
      </c>
      <c r="C26">
        <f t="shared" si="11"/>
        <v>12.409747292418771</v>
      </c>
      <c r="D26">
        <f t="shared" si="1"/>
        <v>11.770244821092279</v>
      </c>
      <c r="E26">
        <f t="shared" si="14"/>
        <v>7.8358852199532976</v>
      </c>
      <c r="H26">
        <f t="shared" si="12"/>
        <v>10</v>
      </c>
      <c r="J26">
        <f t="shared" si="3"/>
        <v>10</v>
      </c>
      <c r="L26">
        <f t="shared" si="4"/>
        <v>12.5</v>
      </c>
      <c r="N26">
        <f t="shared" si="5"/>
        <v>12.5</v>
      </c>
      <c r="P26">
        <f t="shared" si="6"/>
        <v>12.5</v>
      </c>
      <c r="R26">
        <f t="shared" si="7"/>
        <v>12.5</v>
      </c>
      <c r="T26">
        <f t="shared" si="8"/>
        <v>12.5</v>
      </c>
      <c r="V26">
        <f t="shared" si="9"/>
        <v>10</v>
      </c>
      <c r="X26">
        <f t="shared" si="10"/>
        <v>10</v>
      </c>
    </row>
    <row r="27" spans="1:24" x14ac:dyDescent="0.25">
      <c r="A27">
        <v>23</v>
      </c>
      <c r="B27">
        <f t="shared" si="13"/>
        <v>20</v>
      </c>
      <c r="C27">
        <f t="shared" si="11"/>
        <v>12.709991158267021</v>
      </c>
      <c r="D27">
        <f t="shared" si="1"/>
        <v>11.770244821092279</v>
      </c>
      <c r="E27">
        <f t="shared" si="14"/>
        <v>7.8358852199532976</v>
      </c>
      <c r="H27">
        <f t="shared" si="12"/>
        <v>10</v>
      </c>
      <c r="J27">
        <f t="shared" si="3"/>
        <v>10</v>
      </c>
      <c r="L27">
        <f t="shared" si="4"/>
        <v>12.5</v>
      </c>
      <c r="N27">
        <f t="shared" si="5"/>
        <v>12.5</v>
      </c>
      <c r="P27">
        <f t="shared" si="6"/>
        <v>12.5</v>
      </c>
      <c r="R27">
        <f t="shared" si="7"/>
        <v>12.5</v>
      </c>
      <c r="T27">
        <f t="shared" si="8"/>
        <v>12.5</v>
      </c>
      <c r="V27">
        <f t="shared" si="9"/>
        <v>10</v>
      </c>
      <c r="X27">
        <f t="shared" si="10"/>
        <v>10</v>
      </c>
    </row>
    <row r="28" spans="1:24" x14ac:dyDescent="0.25">
      <c r="A28">
        <v>24</v>
      </c>
      <c r="B28">
        <f t="shared" si="13"/>
        <v>20</v>
      </c>
      <c r="C28">
        <f t="shared" si="11"/>
        <v>12.998266897746968</v>
      </c>
      <c r="D28">
        <f t="shared" si="1"/>
        <v>11.770244821092279</v>
      </c>
      <c r="E28">
        <f t="shared" si="14"/>
        <v>7.8358852199532976</v>
      </c>
      <c r="H28">
        <f t="shared" si="12"/>
        <v>10</v>
      </c>
      <c r="J28">
        <f t="shared" si="3"/>
        <v>10</v>
      </c>
      <c r="L28">
        <f t="shared" si="4"/>
        <v>12.5</v>
      </c>
      <c r="N28">
        <f t="shared" si="5"/>
        <v>12.5</v>
      </c>
      <c r="P28">
        <f t="shared" si="6"/>
        <v>12.5</v>
      </c>
      <c r="R28">
        <f t="shared" si="7"/>
        <v>12.5</v>
      </c>
      <c r="T28">
        <f t="shared" si="8"/>
        <v>12.5</v>
      </c>
      <c r="V28">
        <f t="shared" si="9"/>
        <v>10</v>
      </c>
      <c r="X28">
        <f t="shared" si="10"/>
        <v>10</v>
      </c>
    </row>
    <row r="29" spans="1:24" x14ac:dyDescent="0.25">
      <c r="A29">
        <v>25</v>
      </c>
      <c r="B29">
        <f t="shared" si="13"/>
        <v>25</v>
      </c>
      <c r="C29">
        <f t="shared" si="11"/>
        <v>13.275276125743416</v>
      </c>
      <c r="D29">
        <f t="shared" si="1"/>
        <v>13.275276125743416</v>
      </c>
      <c r="E29">
        <f t="shared" si="14"/>
        <v>7.8358852199532976</v>
      </c>
      <c r="H29">
        <f t="shared" si="12"/>
        <v>10</v>
      </c>
      <c r="J29">
        <f t="shared" si="3"/>
        <v>10</v>
      </c>
      <c r="L29">
        <f t="shared" si="4"/>
        <v>12.5</v>
      </c>
      <c r="N29">
        <f t="shared" si="5"/>
        <v>12.5</v>
      </c>
      <c r="P29">
        <f t="shared" si="6"/>
        <v>12.5</v>
      </c>
      <c r="R29">
        <f t="shared" si="7"/>
        <v>12.5</v>
      </c>
      <c r="T29">
        <f t="shared" si="8"/>
        <v>12.5</v>
      </c>
      <c r="V29">
        <f t="shared" si="9"/>
        <v>10</v>
      </c>
      <c r="X29">
        <f t="shared" si="10"/>
        <v>10</v>
      </c>
    </row>
    <row r="30" spans="1:24" x14ac:dyDescent="0.25">
      <c r="A30">
        <v>26</v>
      </c>
      <c r="B30">
        <f t="shared" si="13"/>
        <v>25</v>
      </c>
      <c r="C30">
        <f t="shared" si="11"/>
        <v>13.541666666666666</v>
      </c>
      <c r="D30">
        <f t="shared" si="1"/>
        <v>13.275276125743416</v>
      </c>
      <c r="E30">
        <f t="shared" si="14"/>
        <v>7.8358852199532976</v>
      </c>
      <c r="H30">
        <f t="shared" si="12"/>
        <v>10</v>
      </c>
      <c r="J30">
        <f t="shared" si="3"/>
        <v>10</v>
      </c>
      <c r="L30">
        <f t="shared" si="4"/>
        <v>12.5</v>
      </c>
      <c r="N30">
        <f t="shared" si="5"/>
        <v>12.5</v>
      </c>
      <c r="P30">
        <f t="shared" si="6"/>
        <v>12.5</v>
      </c>
      <c r="R30">
        <f t="shared" si="7"/>
        <v>12.5</v>
      </c>
      <c r="T30">
        <f t="shared" si="8"/>
        <v>12.5</v>
      </c>
      <c r="V30">
        <f t="shared" si="9"/>
        <v>10</v>
      </c>
      <c r="X30">
        <f t="shared" si="10"/>
        <v>10</v>
      </c>
    </row>
    <row r="31" spans="1:24" x14ac:dyDescent="0.25">
      <c r="A31">
        <v>27</v>
      </c>
      <c r="B31">
        <f t="shared" si="13"/>
        <v>25</v>
      </c>
      <c r="C31">
        <f t="shared" si="11"/>
        <v>13.798037612428455</v>
      </c>
      <c r="D31">
        <f t="shared" si="1"/>
        <v>13.275276125743416</v>
      </c>
      <c r="E31">
        <f t="shared" si="14"/>
        <v>7.8358852199532976</v>
      </c>
      <c r="H31">
        <f t="shared" si="12"/>
        <v>10</v>
      </c>
      <c r="J31">
        <f t="shared" si="3"/>
        <v>10</v>
      </c>
      <c r="L31">
        <f t="shared" si="4"/>
        <v>12.5</v>
      </c>
      <c r="N31">
        <f t="shared" si="5"/>
        <v>12.5</v>
      </c>
      <c r="P31">
        <f t="shared" si="6"/>
        <v>12.5</v>
      </c>
      <c r="R31">
        <f t="shared" si="7"/>
        <v>12.5</v>
      </c>
      <c r="T31">
        <f t="shared" si="8"/>
        <v>12.5</v>
      </c>
      <c r="V31">
        <f t="shared" si="9"/>
        <v>10</v>
      </c>
      <c r="X31">
        <f t="shared" si="10"/>
        <v>10</v>
      </c>
    </row>
    <row r="32" spans="1:24" x14ac:dyDescent="0.25">
      <c r="A32">
        <v>28</v>
      </c>
      <c r="B32">
        <f t="shared" si="13"/>
        <v>25</v>
      </c>
      <c r="C32">
        <f t="shared" si="11"/>
        <v>14.044943820224718</v>
      </c>
      <c r="D32">
        <f t="shared" si="1"/>
        <v>13.275276125743416</v>
      </c>
      <c r="E32">
        <f t="shared" si="14"/>
        <v>7.8358852199532976</v>
      </c>
      <c r="H32">
        <f t="shared" si="12"/>
        <v>10</v>
      </c>
      <c r="J32">
        <f t="shared" si="3"/>
        <v>10</v>
      </c>
      <c r="L32">
        <f t="shared" si="4"/>
        <v>12.5</v>
      </c>
      <c r="N32">
        <f t="shared" si="5"/>
        <v>12.5</v>
      </c>
      <c r="P32">
        <f t="shared" si="6"/>
        <v>12.5</v>
      </c>
      <c r="R32">
        <f t="shared" si="7"/>
        <v>12.5</v>
      </c>
      <c r="T32">
        <f t="shared" si="8"/>
        <v>12.5</v>
      </c>
      <c r="V32">
        <f t="shared" si="9"/>
        <v>10</v>
      </c>
      <c r="X32">
        <f t="shared" si="10"/>
        <v>10</v>
      </c>
    </row>
    <row r="33" spans="1:24" x14ac:dyDescent="0.25">
      <c r="A33">
        <v>29</v>
      </c>
      <c r="B33">
        <f t="shared" si="13"/>
        <v>25</v>
      </c>
      <c r="C33">
        <f t="shared" si="11"/>
        <v>14.282899921197794</v>
      </c>
      <c r="D33">
        <f t="shared" si="1"/>
        <v>13.275276125743416</v>
      </c>
      <c r="E33">
        <f t="shared" si="14"/>
        <v>7.8358852199532976</v>
      </c>
      <c r="H33">
        <f t="shared" si="12"/>
        <v>10</v>
      </c>
      <c r="J33">
        <f t="shared" si="3"/>
        <v>10</v>
      </c>
      <c r="L33">
        <f t="shared" si="4"/>
        <v>12.5</v>
      </c>
      <c r="N33">
        <f t="shared" si="5"/>
        <v>12.5</v>
      </c>
      <c r="P33">
        <f t="shared" si="6"/>
        <v>12.5</v>
      </c>
      <c r="R33">
        <f t="shared" si="7"/>
        <v>12.5</v>
      </c>
      <c r="T33">
        <f t="shared" si="8"/>
        <v>12.5</v>
      </c>
      <c r="V33">
        <f t="shared" si="9"/>
        <v>10</v>
      </c>
      <c r="X33">
        <f t="shared" si="10"/>
        <v>10</v>
      </c>
    </row>
    <row r="34" spans="1:24" x14ac:dyDescent="0.25">
      <c r="A34">
        <v>30</v>
      </c>
      <c r="B34">
        <f t="shared" si="13"/>
        <v>25</v>
      </c>
      <c r="C34">
        <f t="shared" si="11"/>
        <v>14.512383900928793</v>
      </c>
      <c r="D34">
        <f t="shared" si="1"/>
        <v>13.275276125743416</v>
      </c>
      <c r="E34">
        <f t="shared" si="14"/>
        <v>7.8358852199532976</v>
      </c>
      <c r="H34">
        <f t="shared" si="12"/>
        <v>10</v>
      </c>
      <c r="J34">
        <f t="shared" si="3"/>
        <v>10</v>
      </c>
      <c r="L34">
        <f t="shared" si="4"/>
        <v>12.5</v>
      </c>
      <c r="N34">
        <f t="shared" si="5"/>
        <v>12.5</v>
      </c>
      <c r="P34">
        <f t="shared" si="6"/>
        <v>12.5</v>
      </c>
      <c r="R34">
        <f t="shared" si="7"/>
        <v>12.5</v>
      </c>
      <c r="T34">
        <f t="shared" si="8"/>
        <v>12.5</v>
      </c>
      <c r="V34">
        <f t="shared" si="9"/>
        <v>10</v>
      </c>
      <c r="X34">
        <f t="shared" si="10"/>
        <v>10</v>
      </c>
    </row>
    <row r="35" spans="1:24" x14ac:dyDescent="0.25">
      <c r="A35">
        <v>31</v>
      </c>
      <c r="B35">
        <f t="shared" si="13"/>
        <v>25</v>
      </c>
      <c r="C35">
        <f t="shared" si="11"/>
        <v>14.733840304182509</v>
      </c>
      <c r="D35">
        <f t="shared" si="1"/>
        <v>13.275276125743416</v>
      </c>
      <c r="E35">
        <f t="shared" si="14"/>
        <v>7.8358852199532976</v>
      </c>
      <c r="H35">
        <f t="shared" si="12"/>
        <v>10</v>
      </c>
      <c r="J35">
        <f t="shared" si="3"/>
        <v>10</v>
      </c>
      <c r="L35">
        <f t="shared" si="4"/>
        <v>12.5</v>
      </c>
      <c r="N35">
        <f t="shared" si="5"/>
        <v>12.5</v>
      </c>
      <c r="P35">
        <f t="shared" si="6"/>
        <v>12.5</v>
      </c>
      <c r="R35">
        <f t="shared" si="7"/>
        <v>12.5</v>
      </c>
      <c r="T35">
        <f t="shared" si="8"/>
        <v>12.5</v>
      </c>
      <c r="V35">
        <f t="shared" si="9"/>
        <v>10</v>
      </c>
      <c r="X35">
        <f t="shared" si="10"/>
        <v>10</v>
      </c>
    </row>
    <row r="36" spans="1:24" x14ac:dyDescent="0.25">
      <c r="A36">
        <v>32</v>
      </c>
      <c r="B36">
        <f t="shared" si="13"/>
        <v>25</v>
      </c>
      <c r="C36">
        <f t="shared" si="11"/>
        <v>14.947683109118088</v>
      </c>
      <c r="D36">
        <f t="shared" si="1"/>
        <v>13.275276125743416</v>
      </c>
      <c r="E36">
        <f t="shared" si="14"/>
        <v>7.8358852199532976</v>
      </c>
      <c r="H36">
        <f t="shared" si="12"/>
        <v>10</v>
      </c>
      <c r="J36">
        <f t="shared" si="3"/>
        <v>10</v>
      </c>
      <c r="L36">
        <f t="shared" si="4"/>
        <v>12.5</v>
      </c>
      <c r="N36">
        <f t="shared" si="5"/>
        <v>12.5</v>
      </c>
      <c r="P36">
        <f t="shared" si="6"/>
        <v>12.5</v>
      </c>
      <c r="R36">
        <f t="shared" si="7"/>
        <v>12.5</v>
      </c>
      <c r="T36">
        <f t="shared" si="8"/>
        <v>12.5</v>
      </c>
      <c r="V36">
        <f t="shared" si="9"/>
        <v>10</v>
      </c>
      <c r="X36">
        <f t="shared" si="10"/>
        <v>10</v>
      </c>
    </row>
    <row r="37" spans="1:24" x14ac:dyDescent="0.25">
      <c r="A37">
        <v>33</v>
      </c>
      <c r="B37">
        <f t="shared" si="13"/>
        <v>25</v>
      </c>
      <c r="C37">
        <f t="shared" si="11"/>
        <v>15.154298310066128</v>
      </c>
      <c r="D37">
        <f t="shared" si="1"/>
        <v>13.275276125743416</v>
      </c>
      <c r="E37">
        <f t="shared" si="14"/>
        <v>7.8358852199532976</v>
      </c>
      <c r="H37">
        <f t="shared" si="12"/>
        <v>10</v>
      </c>
      <c r="J37">
        <f t="shared" si="3"/>
        <v>10</v>
      </c>
      <c r="L37">
        <f t="shared" si="4"/>
        <v>12.5</v>
      </c>
      <c r="N37">
        <f t="shared" si="5"/>
        <v>12.5</v>
      </c>
      <c r="P37">
        <f t="shared" si="6"/>
        <v>12.5</v>
      </c>
      <c r="R37">
        <f t="shared" si="7"/>
        <v>12.5</v>
      </c>
      <c r="T37">
        <f t="shared" si="8"/>
        <v>12.5</v>
      </c>
      <c r="V37">
        <f t="shared" si="9"/>
        <v>10</v>
      </c>
      <c r="X37">
        <f t="shared" si="10"/>
        <v>10</v>
      </c>
    </row>
    <row r="38" spans="1:24" x14ac:dyDescent="0.25">
      <c r="A38">
        <v>34</v>
      </c>
      <c r="B38">
        <f t="shared" si="13"/>
        <v>33.333333333333336</v>
      </c>
      <c r="C38">
        <f t="shared" si="11"/>
        <v>15.354046242774567</v>
      </c>
      <c r="D38">
        <f t="shared" si="1"/>
        <v>15.221626887481735</v>
      </c>
      <c r="E38">
        <f t="shared" si="14"/>
        <v>7.8358852199532976</v>
      </c>
      <c r="H38">
        <f t="shared" si="12"/>
        <v>10</v>
      </c>
      <c r="J38">
        <f t="shared" si="3"/>
        <v>10</v>
      </c>
      <c r="L38">
        <f t="shared" si="4"/>
        <v>12.5</v>
      </c>
      <c r="N38">
        <f t="shared" si="5"/>
        <v>12.5</v>
      </c>
      <c r="P38">
        <f t="shared" si="6"/>
        <v>12.5</v>
      </c>
      <c r="R38">
        <f t="shared" si="7"/>
        <v>12.5</v>
      </c>
      <c r="T38">
        <f t="shared" si="8"/>
        <v>12.5</v>
      </c>
      <c r="V38">
        <f t="shared" si="9"/>
        <v>10</v>
      </c>
      <c r="X38">
        <f t="shared" si="10"/>
        <v>10</v>
      </c>
    </row>
    <row r="39" spans="1:24" x14ac:dyDescent="0.25">
      <c r="A39">
        <v>35</v>
      </c>
      <c r="B39">
        <f t="shared" si="13"/>
        <v>33.333333333333336</v>
      </c>
      <c r="C39">
        <f t="shared" si="11"/>
        <v>15.547263681592039</v>
      </c>
      <c r="D39">
        <f t="shared" si="1"/>
        <v>15.221626887481735</v>
      </c>
      <c r="E39">
        <f t="shared" si="14"/>
        <v>7.8358852199532976</v>
      </c>
      <c r="H39">
        <f t="shared" si="12"/>
        <v>10</v>
      </c>
      <c r="J39">
        <f t="shared" si="3"/>
        <v>10</v>
      </c>
      <c r="L39">
        <f t="shared" si="4"/>
        <v>12.5</v>
      </c>
      <c r="N39">
        <f t="shared" si="5"/>
        <v>12.5</v>
      </c>
      <c r="P39">
        <f t="shared" si="6"/>
        <v>12.5</v>
      </c>
      <c r="R39">
        <f t="shared" si="7"/>
        <v>12.5</v>
      </c>
      <c r="T39">
        <f t="shared" si="8"/>
        <v>12.5</v>
      </c>
      <c r="V39">
        <f t="shared" si="9"/>
        <v>10</v>
      </c>
      <c r="X39">
        <f t="shared" si="10"/>
        <v>10</v>
      </c>
    </row>
    <row r="40" spans="1:24" x14ac:dyDescent="0.25">
      <c r="A40">
        <v>36</v>
      </c>
      <c r="B40">
        <f t="shared" si="13"/>
        <v>33.333333333333336</v>
      </c>
      <c r="C40">
        <f t="shared" si="11"/>
        <v>15.734265734265733</v>
      </c>
      <c r="D40">
        <f t="shared" si="1"/>
        <v>15.221626887481735</v>
      </c>
      <c r="E40">
        <f t="shared" si="14"/>
        <v>7.8358852199532976</v>
      </c>
      <c r="H40">
        <f t="shared" si="12"/>
        <v>10</v>
      </c>
      <c r="J40">
        <f t="shared" si="3"/>
        <v>10</v>
      </c>
      <c r="L40">
        <f t="shared" si="4"/>
        <v>12.5</v>
      </c>
      <c r="N40">
        <f t="shared" si="5"/>
        <v>12.5</v>
      </c>
      <c r="P40">
        <f t="shared" si="6"/>
        <v>12.5</v>
      </c>
      <c r="R40">
        <f t="shared" si="7"/>
        <v>12.5</v>
      </c>
      <c r="T40">
        <f t="shared" si="8"/>
        <v>12.5</v>
      </c>
      <c r="V40">
        <f t="shared" si="9"/>
        <v>10</v>
      </c>
      <c r="X40">
        <f t="shared" si="10"/>
        <v>10</v>
      </c>
    </row>
    <row r="41" spans="1:24" x14ac:dyDescent="0.25">
      <c r="A41">
        <v>37</v>
      </c>
      <c r="B41">
        <f t="shared" si="13"/>
        <v>33.333333333333336</v>
      </c>
      <c r="C41">
        <f t="shared" si="11"/>
        <v>15.915347556779079</v>
      </c>
      <c r="D41">
        <f t="shared" si="1"/>
        <v>15.221626887481735</v>
      </c>
      <c r="E41">
        <f>100/(B$2+H$2/H41+J$2/J41+L$2/L41+N$2/N41+P$2/P41+R$2/R41+T$2/T41+V$2/V41+X$2/X41)</f>
        <v>7.8358852199532976</v>
      </c>
      <c r="H41">
        <f t="shared" si="12"/>
        <v>10</v>
      </c>
      <c r="J41">
        <f t="shared" si="3"/>
        <v>10</v>
      </c>
      <c r="L41">
        <f t="shared" si="4"/>
        <v>12.5</v>
      </c>
      <c r="N41">
        <f t="shared" si="5"/>
        <v>12.5</v>
      </c>
      <c r="P41">
        <f t="shared" si="6"/>
        <v>12.5</v>
      </c>
      <c r="R41">
        <f t="shared" si="7"/>
        <v>12.5</v>
      </c>
      <c r="T41">
        <f t="shared" si="8"/>
        <v>12.5</v>
      </c>
      <c r="V41">
        <f t="shared" si="9"/>
        <v>10</v>
      </c>
      <c r="X41">
        <f t="shared" si="10"/>
        <v>10</v>
      </c>
    </row>
    <row r="42" spans="1:24" x14ac:dyDescent="0.25">
      <c r="A42">
        <v>38</v>
      </c>
      <c r="B42">
        <f t="shared" si="13"/>
        <v>33.333333333333336</v>
      </c>
      <c r="C42">
        <f t="shared" si="11"/>
        <v>16.090785907859079</v>
      </c>
      <c r="D42">
        <f t="shared" si="1"/>
        <v>15.221626887481735</v>
      </c>
      <c r="E42">
        <f>100/(B$2+H$2/H42+J$2/J42+L$2/L42+N$2/N42+P$2/P42+R$2/R42+T$2/T42+V$2/V42+X$2/X42)</f>
        <v>7.8358852199532976</v>
      </c>
      <c r="H42">
        <f>H$1/ROUNDUP(H$1/MIN(A42,D$1*D$2),0)</f>
        <v>10</v>
      </c>
      <c r="J42">
        <f t="shared" si="3"/>
        <v>10</v>
      </c>
      <c r="L42">
        <f t="shared" si="4"/>
        <v>12.5</v>
      </c>
      <c r="N42">
        <f t="shared" si="5"/>
        <v>12.5</v>
      </c>
      <c r="P42">
        <f t="shared" si="6"/>
        <v>12.5</v>
      </c>
      <c r="R42">
        <f t="shared" si="7"/>
        <v>12.5</v>
      </c>
      <c r="T42">
        <f t="shared" si="8"/>
        <v>12.5</v>
      </c>
      <c r="V42">
        <f t="shared" si="9"/>
        <v>10</v>
      </c>
      <c r="X42">
        <f t="shared" si="10"/>
        <v>10</v>
      </c>
    </row>
    <row r="43" spans="1:24" x14ac:dyDescent="0.25">
      <c r="A43">
        <v>39</v>
      </c>
      <c r="B43">
        <f t="shared" si="13"/>
        <v>33.333333333333336</v>
      </c>
      <c r="C43">
        <f t="shared" si="11"/>
        <v>16.26084056037358</v>
      </c>
      <c r="D43">
        <f t="shared" si="1"/>
        <v>15.221626887481735</v>
      </c>
      <c r="E43">
        <f t="shared" ref="E43:E59" si="15">100/(B$2+H$2/H43+J$2/J43+L$2/L43+N$2/N43+P$2/P43+R$2/R43+T$2/T43+V$2/V43+X$2/X43)</f>
        <v>7.8358852199532976</v>
      </c>
      <c r="H43">
        <f>H$1/ROUNDUP(H$1/MIN(A43,D$1*D$2),0)</f>
        <v>10</v>
      </c>
      <c r="J43">
        <f t="shared" si="3"/>
        <v>10</v>
      </c>
      <c r="L43">
        <f t="shared" si="4"/>
        <v>12.5</v>
      </c>
      <c r="N43">
        <f t="shared" si="5"/>
        <v>12.5</v>
      </c>
      <c r="P43">
        <f t="shared" si="6"/>
        <v>12.5</v>
      </c>
      <c r="R43">
        <f t="shared" si="7"/>
        <v>12.5</v>
      </c>
      <c r="T43">
        <f t="shared" si="8"/>
        <v>12.5</v>
      </c>
      <c r="V43">
        <f t="shared" si="9"/>
        <v>10</v>
      </c>
      <c r="X43">
        <f t="shared" si="10"/>
        <v>10</v>
      </c>
    </row>
    <row r="44" spans="1:24" x14ac:dyDescent="0.25">
      <c r="A44">
        <v>40</v>
      </c>
      <c r="B44">
        <f t="shared" si="13"/>
        <v>33.333333333333336</v>
      </c>
      <c r="C44">
        <f t="shared" si="11"/>
        <v>16.425755584756899</v>
      </c>
      <c r="D44">
        <f t="shared" si="1"/>
        <v>15.221626887481735</v>
      </c>
      <c r="E44">
        <f t="shared" si="15"/>
        <v>7.8358852199532976</v>
      </c>
      <c r="H44">
        <f t="shared" ref="H44:H63" si="16">H$1/ROUNDUP(H$1/MIN(A44,D$1*D$2),0)</f>
        <v>10</v>
      </c>
      <c r="J44">
        <f t="shared" si="3"/>
        <v>10</v>
      </c>
      <c r="L44">
        <f>L$1/ROUNDUP(L$1/MIN(A44,D$1),0)</f>
        <v>12.5</v>
      </c>
      <c r="N44">
        <f t="shared" si="5"/>
        <v>12.5</v>
      </c>
      <c r="P44">
        <f t="shared" si="6"/>
        <v>12.5</v>
      </c>
      <c r="R44">
        <f t="shared" si="7"/>
        <v>12.5</v>
      </c>
      <c r="T44">
        <f t="shared" si="8"/>
        <v>12.5</v>
      </c>
      <c r="V44">
        <f t="shared" si="9"/>
        <v>10</v>
      </c>
      <c r="X44">
        <f t="shared" si="10"/>
        <v>10</v>
      </c>
    </row>
    <row r="45" spans="1:24" x14ac:dyDescent="0.25">
      <c r="A45">
        <v>41</v>
      </c>
      <c r="B45">
        <f t="shared" si="13"/>
        <v>33.333333333333336</v>
      </c>
      <c r="C45">
        <f t="shared" si="11"/>
        <v>16.585760517799354</v>
      </c>
      <c r="D45">
        <f t="shared" si="1"/>
        <v>15.221626887481735</v>
      </c>
      <c r="E45">
        <f t="shared" si="15"/>
        <v>7.8358852199532976</v>
      </c>
      <c r="H45">
        <f t="shared" si="16"/>
        <v>10</v>
      </c>
      <c r="J45">
        <f t="shared" si="3"/>
        <v>10</v>
      </c>
      <c r="L45">
        <f t="shared" si="4"/>
        <v>12.5</v>
      </c>
      <c r="N45">
        <f t="shared" si="5"/>
        <v>12.5</v>
      </c>
      <c r="P45">
        <f t="shared" si="6"/>
        <v>12.5</v>
      </c>
      <c r="R45">
        <f t="shared" si="7"/>
        <v>12.5</v>
      </c>
      <c r="T45">
        <f t="shared" si="8"/>
        <v>12.5</v>
      </c>
      <c r="V45">
        <f t="shared" si="9"/>
        <v>10</v>
      </c>
      <c r="X45">
        <f t="shared" si="10"/>
        <v>10</v>
      </c>
    </row>
    <row r="46" spans="1:24" x14ac:dyDescent="0.25">
      <c r="A46">
        <v>42</v>
      </c>
      <c r="B46">
        <f t="shared" si="13"/>
        <v>33.333333333333336</v>
      </c>
      <c r="C46">
        <f t="shared" si="11"/>
        <v>16.741071428571431</v>
      </c>
      <c r="D46">
        <f t="shared" si="1"/>
        <v>15.221626887481735</v>
      </c>
      <c r="E46">
        <f t="shared" si="15"/>
        <v>7.8358852199532976</v>
      </c>
      <c r="H46">
        <f t="shared" si="16"/>
        <v>10</v>
      </c>
      <c r="J46">
        <f t="shared" si="3"/>
        <v>10</v>
      </c>
      <c r="L46">
        <f t="shared" si="4"/>
        <v>12.5</v>
      </c>
      <c r="N46">
        <f t="shared" si="5"/>
        <v>12.5</v>
      </c>
      <c r="P46">
        <f t="shared" si="6"/>
        <v>12.5</v>
      </c>
      <c r="R46">
        <f t="shared" si="7"/>
        <v>12.5</v>
      </c>
      <c r="T46">
        <f t="shared" si="8"/>
        <v>12.5</v>
      </c>
      <c r="V46">
        <f t="shared" si="9"/>
        <v>10</v>
      </c>
      <c r="X46">
        <f t="shared" si="10"/>
        <v>10</v>
      </c>
    </row>
    <row r="47" spans="1:24" x14ac:dyDescent="0.25">
      <c r="A47">
        <v>43</v>
      </c>
      <c r="B47">
        <f t="shared" si="13"/>
        <v>33.333333333333336</v>
      </c>
      <c r="C47">
        <f t="shared" si="11"/>
        <v>16.891891891891891</v>
      </c>
      <c r="D47">
        <f t="shared" si="1"/>
        <v>15.221626887481735</v>
      </c>
      <c r="E47">
        <f t="shared" si="15"/>
        <v>7.8358852199532976</v>
      </c>
      <c r="H47">
        <f t="shared" si="16"/>
        <v>10</v>
      </c>
      <c r="J47">
        <f t="shared" si="3"/>
        <v>10</v>
      </c>
      <c r="L47">
        <f t="shared" si="4"/>
        <v>12.5</v>
      </c>
      <c r="N47">
        <f t="shared" si="5"/>
        <v>12.5</v>
      </c>
      <c r="P47">
        <f t="shared" si="6"/>
        <v>12.5</v>
      </c>
      <c r="R47">
        <f t="shared" si="7"/>
        <v>12.5</v>
      </c>
      <c r="T47">
        <f t="shared" si="8"/>
        <v>12.5</v>
      </c>
      <c r="V47">
        <f t="shared" si="9"/>
        <v>10</v>
      </c>
      <c r="X47">
        <f t="shared" si="10"/>
        <v>10</v>
      </c>
    </row>
    <row r="48" spans="1:24" x14ac:dyDescent="0.25">
      <c r="A48">
        <v>44</v>
      </c>
      <c r="B48">
        <f t="shared" si="13"/>
        <v>33.333333333333336</v>
      </c>
      <c r="C48">
        <f t="shared" si="11"/>
        <v>17.038413878562576</v>
      </c>
      <c r="D48">
        <f t="shared" si="1"/>
        <v>15.221626887481735</v>
      </c>
      <c r="E48">
        <f t="shared" si="15"/>
        <v>7.8358852199532976</v>
      </c>
      <c r="H48">
        <f t="shared" si="16"/>
        <v>10</v>
      </c>
      <c r="J48">
        <f t="shared" si="3"/>
        <v>10</v>
      </c>
      <c r="L48">
        <f t="shared" si="4"/>
        <v>12.5</v>
      </c>
      <c r="N48">
        <f t="shared" si="5"/>
        <v>12.5</v>
      </c>
      <c r="P48">
        <f t="shared" si="6"/>
        <v>12.5</v>
      </c>
      <c r="R48">
        <f t="shared" si="7"/>
        <v>12.5</v>
      </c>
      <c r="T48">
        <f t="shared" si="8"/>
        <v>12.5</v>
      </c>
      <c r="V48">
        <f t="shared" si="9"/>
        <v>10</v>
      </c>
      <c r="X48">
        <f t="shared" si="10"/>
        <v>10</v>
      </c>
    </row>
    <row r="49" spans="1:24" x14ac:dyDescent="0.25">
      <c r="A49">
        <v>45</v>
      </c>
      <c r="B49">
        <f t="shared" si="13"/>
        <v>33.333333333333336</v>
      </c>
      <c r="C49">
        <f t="shared" si="11"/>
        <v>17.180818570555896</v>
      </c>
      <c r="D49">
        <f t="shared" si="1"/>
        <v>15.221626887481735</v>
      </c>
      <c r="E49">
        <f t="shared" si="15"/>
        <v>7.8358852199532976</v>
      </c>
      <c r="H49">
        <f t="shared" si="16"/>
        <v>10</v>
      </c>
      <c r="J49">
        <f t="shared" si="3"/>
        <v>10</v>
      </c>
      <c r="L49">
        <f t="shared" si="4"/>
        <v>12.5</v>
      </c>
      <c r="N49">
        <f t="shared" si="5"/>
        <v>12.5</v>
      </c>
      <c r="P49">
        <f t="shared" si="6"/>
        <v>12.5</v>
      </c>
      <c r="R49">
        <f t="shared" si="7"/>
        <v>12.5</v>
      </c>
      <c r="T49">
        <f t="shared" si="8"/>
        <v>12.5</v>
      </c>
      <c r="V49">
        <f t="shared" si="9"/>
        <v>10</v>
      </c>
      <c r="X49">
        <f t="shared" si="10"/>
        <v>10</v>
      </c>
    </row>
    <row r="50" spans="1:24" x14ac:dyDescent="0.25">
      <c r="A50">
        <v>46</v>
      </c>
      <c r="B50">
        <f t="shared" si="13"/>
        <v>33.333333333333336</v>
      </c>
      <c r="C50">
        <f t="shared" si="11"/>
        <v>17.319277108433734</v>
      </c>
      <c r="D50">
        <f t="shared" si="1"/>
        <v>15.221626887481735</v>
      </c>
      <c r="E50">
        <f t="shared" si="15"/>
        <v>7.8358852199532976</v>
      </c>
      <c r="H50">
        <f t="shared" si="16"/>
        <v>10</v>
      </c>
      <c r="J50">
        <f t="shared" si="3"/>
        <v>10</v>
      </c>
      <c r="L50">
        <f t="shared" si="4"/>
        <v>12.5</v>
      </c>
      <c r="N50">
        <f t="shared" si="5"/>
        <v>12.5</v>
      </c>
      <c r="P50">
        <f t="shared" si="6"/>
        <v>12.5</v>
      </c>
      <c r="R50">
        <f t="shared" si="7"/>
        <v>12.5</v>
      </c>
      <c r="T50">
        <f t="shared" si="8"/>
        <v>12.5</v>
      </c>
      <c r="V50">
        <f t="shared" si="9"/>
        <v>10</v>
      </c>
      <c r="X50">
        <f t="shared" si="10"/>
        <v>10</v>
      </c>
    </row>
    <row r="51" spans="1:24" x14ac:dyDescent="0.25">
      <c r="A51">
        <v>47</v>
      </c>
      <c r="B51">
        <f t="shared" si="13"/>
        <v>33.333333333333336</v>
      </c>
      <c r="C51">
        <f t="shared" si="11"/>
        <v>17.453951277480687</v>
      </c>
      <c r="D51">
        <f t="shared" si="1"/>
        <v>15.221626887481735</v>
      </c>
      <c r="E51">
        <f t="shared" si="15"/>
        <v>7.8358852199532976</v>
      </c>
      <c r="H51">
        <f t="shared" si="16"/>
        <v>10</v>
      </c>
      <c r="J51">
        <f t="shared" si="3"/>
        <v>10</v>
      </c>
      <c r="L51">
        <f t="shared" si="4"/>
        <v>12.5</v>
      </c>
      <c r="N51">
        <f t="shared" si="5"/>
        <v>12.5</v>
      </c>
      <c r="P51">
        <f t="shared" si="6"/>
        <v>12.5</v>
      </c>
      <c r="R51">
        <f t="shared" si="7"/>
        <v>12.5</v>
      </c>
      <c r="T51">
        <f t="shared" si="8"/>
        <v>12.5</v>
      </c>
      <c r="V51">
        <f t="shared" si="9"/>
        <v>10</v>
      </c>
      <c r="X51">
        <f t="shared" si="10"/>
        <v>10</v>
      </c>
    </row>
    <row r="52" spans="1:24" x14ac:dyDescent="0.25">
      <c r="A52">
        <v>48</v>
      </c>
      <c r="B52">
        <f t="shared" si="13"/>
        <v>33.333333333333336</v>
      </c>
      <c r="C52">
        <f t="shared" si="11"/>
        <v>17.584994138335286</v>
      </c>
      <c r="D52">
        <f t="shared" si="1"/>
        <v>15.221626887481735</v>
      </c>
      <c r="E52">
        <f t="shared" si="15"/>
        <v>7.8358852199532976</v>
      </c>
      <c r="H52">
        <f t="shared" si="16"/>
        <v>10</v>
      </c>
      <c r="J52">
        <f t="shared" si="3"/>
        <v>10</v>
      </c>
      <c r="L52">
        <f t="shared" si="4"/>
        <v>12.5</v>
      </c>
      <c r="N52">
        <f t="shared" si="5"/>
        <v>12.5</v>
      </c>
      <c r="P52">
        <f t="shared" si="6"/>
        <v>12.5</v>
      </c>
      <c r="R52">
        <f t="shared" si="7"/>
        <v>12.5</v>
      </c>
      <c r="T52">
        <f t="shared" si="8"/>
        <v>12.5</v>
      </c>
      <c r="V52">
        <f t="shared" si="9"/>
        <v>10</v>
      </c>
      <c r="X52">
        <f t="shared" si="10"/>
        <v>10</v>
      </c>
    </row>
    <row r="53" spans="1:24" x14ac:dyDescent="0.25">
      <c r="A53">
        <v>49</v>
      </c>
      <c r="B53">
        <f t="shared" si="13"/>
        <v>33.333333333333336</v>
      </c>
      <c r="C53">
        <f t="shared" si="11"/>
        <v>17.712550607287447</v>
      </c>
      <c r="D53">
        <f t="shared" si="1"/>
        <v>15.221626887481735</v>
      </c>
      <c r="E53">
        <f t="shared" si="15"/>
        <v>7.8358852199532976</v>
      </c>
      <c r="H53">
        <f t="shared" si="16"/>
        <v>10</v>
      </c>
      <c r="J53">
        <f t="shared" si="3"/>
        <v>10</v>
      </c>
      <c r="L53">
        <f t="shared" si="4"/>
        <v>12.5</v>
      </c>
      <c r="N53">
        <f t="shared" si="5"/>
        <v>12.5</v>
      </c>
      <c r="P53">
        <f t="shared" si="6"/>
        <v>12.5</v>
      </c>
      <c r="R53">
        <f t="shared" si="7"/>
        <v>12.5</v>
      </c>
      <c r="T53">
        <f t="shared" si="8"/>
        <v>12.5</v>
      </c>
      <c r="V53">
        <f t="shared" si="9"/>
        <v>10</v>
      </c>
      <c r="X53">
        <f t="shared" si="10"/>
        <v>10</v>
      </c>
    </row>
    <row r="54" spans="1:24" x14ac:dyDescent="0.25">
      <c r="A54">
        <v>50</v>
      </c>
      <c r="B54">
        <f t="shared" si="13"/>
        <v>50</v>
      </c>
      <c r="C54">
        <f t="shared" si="11"/>
        <v>17.836757990867582</v>
      </c>
      <c r="D54">
        <f t="shared" si="1"/>
        <v>17.836757990867582</v>
      </c>
      <c r="E54">
        <f t="shared" si="15"/>
        <v>7.8358852199532976</v>
      </c>
      <c r="H54">
        <f t="shared" si="16"/>
        <v>10</v>
      </c>
      <c r="J54">
        <f t="shared" si="3"/>
        <v>10</v>
      </c>
      <c r="L54">
        <f t="shared" si="4"/>
        <v>12.5</v>
      </c>
      <c r="N54">
        <f t="shared" si="5"/>
        <v>12.5</v>
      </c>
      <c r="P54">
        <f t="shared" si="6"/>
        <v>12.5</v>
      </c>
      <c r="R54">
        <f t="shared" si="7"/>
        <v>12.5</v>
      </c>
      <c r="T54">
        <f t="shared" si="8"/>
        <v>12.5</v>
      </c>
      <c r="V54">
        <f t="shared" si="9"/>
        <v>10</v>
      </c>
      <c r="X54">
        <f t="shared" si="10"/>
        <v>10</v>
      </c>
    </row>
    <row r="55" spans="1:24" x14ac:dyDescent="0.25">
      <c r="A55">
        <v>51</v>
      </c>
      <c r="B55">
        <f t="shared" si="13"/>
        <v>50</v>
      </c>
      <c r="C55">
        <f t="shared" si="11"/>
        <v>17.95774647887324</v>
      </c>
      <c r="D55">
        <f t="shared" si="1"/>
        <v>17.836757990867582</v>
      </c>
      <c r="E55">
        <f t="shared" si="15"/>
        <v>7.8358852199532976</v>
      </c>
      <c r="H55">
        <f t="shared" si="16"/>
        <v>10</v>
      </c>
      <c r="J55">
        <f t="shared" si="3"/>
        <v>10</v>
      </c>
      <c r="L55">
        <f t="shared" si="4"/>
        <v>12.5</v>
      </c>
      <c r="N55">
        <f t="shared" si="5"/>
        <v>12.5</v>
      </c>
      <c r="P55">
        <f t="shared" si="6"/>
        <v>12.5</v>
      </c>
      <c r="R55">
        <f t="shared" si="7"/>
        <v>12.5</v>
      </c>
      <c r="T55">
        <f t="shared" si="8"/>
        <v>12.5</v>
      </c>
      <c r="V55">
        <f t="shared" si="9"/>
        <v>10</v>
      </c>
      <c r="X55">
        <f t="shared" si="10"/>
        <v>10</v>
      </c>
    </row>
    <row r="56" spans="1:24" x14ac:dyDescent="0.25">
      <c r="A56">
        <v>52</v>
      </c>
      <c r="B56">
        <f t="shared" si="13"/>
        <v>50</v>
      </c>
      <c r="C56">
        <f t="shared" si="11"/>
        <v>18.07563959955506</v>
      </c>
      <c r="D56">
        <f t="shared" si="1"/>
        <v>17.836757990867582</v>
      </c>
      <c r="E56">
        <f t="shared" si="15"/>
        <v>7.8358852199532976</v>
      </c>
      <c r="H56">
        <f t="shared" si="16"/>
        <v>10</v>
      </c>
      <c r="J56">
        <f t="shared" si="3"/>
        <v>10</v>
      </c>
      <c r="L56">
        <f>L$1/ROUNDUP(L$1/MIN(A56,D$1),0)</f>
        <v>12.5</v>
      </c>
      <c r="N56">
        <f t="shared" si="5"/>
        <v>12.5</v>
      </c>
      <c r="P56">
        <f t="shared" si="6"/>
        <v>12.5</v>
      </c>
      <c r="R56">
        <f t="shared" si="7"/>
        <v>12.5</v>
      </c>
      <c r="T56">
        <f t="shared" si="8"/>
        <v>12.5</v>
      </c>
      <c r="V56">
        <f t="shared" si="9"/>
        <v>10</v>
      </c>
      <c r="X56">
        <f t="shared" si="10"/>
        <v>10</v>
      </c>
    </row>
    <row r="57" spans="1:24" x14ac:dyDescent="0.25">
      <c r="A57">
        <v>53</v>
      </c>
      <c r="B57">
        <f t="shared" si="13"/>
        <v>50</v>
      </c>
      <c r="C57">
        <f t="shared" si="11"/>
        <v>18.190554640307525</v>
      </c>
      <c r="D57">
        <f t="shared" si="1"/>
        <v>17.836757990867582</v>
      </c>
      <c r="E57">
        <f t="shared" si="15"/>
        <v>7.8358852199532976</v>
      </c>
      <c r="H57">
        <f t="shared" si="16"/>
        <v>10</v>
      </c>
      <c r="J57">
        <f t="shared" si="3"/>
        <v>10</v>
      </c>
      <c r="L57">
        <f t="shared" si="4"/>
        <v>12.5</v>
      </c>
      <c r="N57">
        <f t="shared" si="5"/>
        <v>12.5</v>
      </c>
      <c r="P57">
        <f t="shared" si="6"/>
        <v>12.5</v>
      </c>
      <c r="R57">
        <f t="shared" si="7"/>
        <v>12.5</v>
      </c>
      <c r="T57">
        <f t="shared" si="8"/>
        <v>12.5</v>
      </c>
      <c r="V57">
        <f t="shared" si="9"/>
        <v>10</v>
      </c>
      <c r="X57">
        <f t="shared" si="10"/>
        <v>10</v>
      </c>
    </row>
    <row r="58" spans="1:24" x14ac:dyDescent="0.25">
      <c r="A58">
        <v>54</v>
      </c>
      <c r="B58">
        <f t="shared" si="13"/>
        <v>50</v>
      </c>
      <c r="C58">
        <f t="shared" si="11"/>
        <v>18.302603036876356</v>
      </c>
      <c r="D58">
        <f t="shared" si="1"/>
        <v>17.836757990867582</v>
      </c>
      <c r="E58">
        <f t="shared" si="15"/>
        <v>7.8358852199532976</v>
      </c>
      <c r="H58">
        <f t="shared" si="16"/>
        <v>10</v>
      </c>
      <c r="J58">
        <f t="shared" si="3"/>
        <v>10</v>
      </c>
      <c r="L58">
        <f t="shared" si="4"/>
        <v>12.5</v>
      </c>
      <c r="N58">
        <f t="shared" si="5"/>
        <v>12.5</v>
      </c>
      <c r="P58">
        <f t="shared" si="6"/>
        <v>12.5</v>
      </c>
      <c r="R58">
        <f t="shared" si="7"/>
        <v>12.5</v>
      </c>
      <c r="T58">
        <f t="shared" si="8"/>
        <v>12.5</v>
      </c>
      <c r="V58">
        <f t="shared" si="9"/>
        <v>10</v>
      </c>
      <c r="X58">
        <f t="shared" si="10"/>
        <v>10</v>
      </c>
    </row>
    <row r="59" spans="1:24" x14ac:dyDescent="0.25">
      <c r="A59">
        <v>55</v>
      </c>
      <c r="B59">
        <f t="shared" si="13"/>
        <v>50</v>
      </c>
      <c r="C59">
        <f t="shared" si="11"/>
        <v>18.411890733797538</v>
      </c>
      <c r="D59">
        <f t="shared" si="1"/>
        <v>17.836757990867582</v>
      </c>
      <c r="E59">
        <f t="shared" si="15"/>
        <v>7.8358852199532976</v>
      </c>
      <c r="H59">
        <f t="shared" si="16"/>
        <v>10</v>
      </c>
      <c r="J59">
        <f t="shared" si="3"/>
        <v>10</v>
      </c>
      <c r="L59">
        <f t="shared" si="4"/>
        <v>12.5</v>
      </c>
      <c r="N59">
        <f t="shared" si="5"/>
        <v>12.5</v>
      </c>
      <c r="P59">
        <f t="shared" si="6"/>
        <v>12.5</v>
      </c>
      <c r="R59">
        <f t="shared" si="7"/>
        <v>12.5</v>
      </c>
      <c r="T59">
        <f t="shared" si="8"/>
        <v>12.5</v>
      </c>
      <c r="V59">
        <f t="shared" si="9"/>
        <v>10</v>
      </c>
      <c r="X59">
        <f t="shared" si="10"/>
        <v>10</v>
      </c>
    </row>
    <row r="60" spans="1:24" x14ac:dyDescent="0.25">
      <c r="A60">
        <v>56</v>
      </c>
      <c r="B60">
        <f t="shared" si="13"/>
        <v>50</v>
      </c>
      <c r="C60">
        <f t="shared" si="11"/>
        <v>18.518518518518519</v>
      </c>
      <c r="D60">
        <f t="shared" si="1"/>
        <v>17.836757990867582</v>
      </c>
      <c r="E60">
        <f>100/(B$2+H$2/H60+J$2/J60+L$2/L60+N$2/N60+P$2/P60+R$2/R60+T$2/T60+V$2/V60+X$2/X60)</f>
        <v>7.8358852199532976</v>
      </c>
      <c r="H60">
        <f t="shared" si="16"/>
        <v>10</v>
      </c>
      <c r="J60">
        <f t="shared" si="3"/>
        <v>10</v>
      </c>
      <c r="L60">
        <f t="shared" si="4"/>
        <v>12.5</v>
      </c>
      <c r="N60">
        <f t="shared" si="5"/>
        <v>12.5</v>
      </c>
      <c r="P60">
        <f t="shared" si="6"/>
        <v>12.5</v>
      </c>
      <c r="R60">
        <f t="shared" si="7"/>
        <v>12.5</v>
      </c>
      <c r="T60">
        <f t="shared" si="8"/>
        <v>12.5</v>
      </c>
      <c r="V60">
        <f t="shared" si="9"/>
        <v>10</v>
      </c>
      <c r="X60">
        <f t="shared" si="10"/>
        <v>10</v>
      </c>
    </row>
    <row r="61" spans="1:24" x14ac:dyDescent="0.25">
      <c r="A61">
        <v>57</v>
      </c>
      <c r="B61">
        <f t="shared" si="13"/>
        <v>50</v>
      </c>
      <c r="C61">
        <f t="shared" si="11"/>
        <v>18.622582331416623</v>
      </c>
      <c r="D61">
        <f t="shared" si="1"/>
        <v>17.836757990867582</v>
      </c>
      <c r="E61">
        <f>100/(B$2+H$2/H61+J$2/J61+L$2/L61+N$2/N61+P$2/P61+R$2/R61+T$2/T61+V$2/V61+X$2/X61)</f>
        <v>7.8358852199532976</v>
      </c>
      <c r="H61">
        <f t="shared" si="16"/>
        <v>10</v>
      </c>
      <c r="J61">
        <f t="shared" si="3"/>
        <v>10</v>
      </c>
      <c r="L61">
        <f>L$1/ROUNDUP(L$1/MIN(A61,D$1),0)</f>
        <v>12.5</v>
      </c>
      <c r="N61">
        <f t="shared" si="5"/>
        <v>12.5</v>
      </c>
      <c r="P61">
        <f t="shared" si="6"/>
        <v>12.5</v>
      </c>
      <c r="R61">
        <f t="shared" si="7"/>
        <v>12.5</v>
      </c>
      <c r="T61">
        <f t="shared" si="8"/>
        <v>12.5</v>
      </c>
      <c r="V61">
        <f t="shared" si="9"/>
        <v>10</v>
      </c>
      <c r="X61">
        <f t="shared" si="10"/>
        <v>10</v>
      </c>
    </row>
    <row r="62" spans="1:24" x14ac:dyDescent="0.25">
      <c r="A62">
        <v>58</v>
      </c>
      <c r="B62">
        <f t="shared" si="13"/>
        <v>50</v>
      </c>
      <c r="C62">
        <f t="shared" si="11"/>
        <v>18.724173553719009</v>
      </c>
      <c r="D62">
        <f t="shared" si="1"/>
        <v>17.836757990867582</v>
      </c>
      <c r="E62">
        <f t="shared" ref="E62:E78" si="17">100/(B$2+H$2/H62+J$2/J62+L$2/L62+N$2/N62+P$2/P62+R$2/R62+T$2/T62+V$2/V62+X$2/X62)</f>
        <v>7.8358852199532976</v>
      </c>
      <c r="H62">
        <f t="shared" si="16"/>
        <v>10</v>
      </c>
      <c r="J62">
        <f t="shared" si="3"/>
        <v>10</v>
      </c>
      <c r="L62">
        <f t="shared" si="4"/>
        <v>12.5</v>
      </c>
      <c r="N62">
        <f t="shared" si="5"/>
        <v>12.5</v>
      </c>
      <c r="P62">
        <f t="shared" si="6"/>
        <v>12.5</v>
      </c>
      <c r="R62">
        <f t="shared" si="7"/>
        <v>12.5</v>
      </c>
      <c r="T62">
        <f t="shared" si="8"/>
        <v>12.5</v>
      </c>
      <c r="V62">
        <f t="shared" si="9"/>
        <v>10</v>
      </c>
      <c r="X62">
        <f t="shared" si="10"/>
        <v>10</v>
      </c>
    </row>
    <row r="63" spans="1:24" x14ac:dyDescent="0.25">
      <c r="A63">
        <v>59</v>
      </c>
      <c r="B63">
        <f t="shared" si="13"/>
        <v>50</v>
      </c>
      <c r="C63">
        <f t="shared" si="11"/>
        <v>18.823379275140379</v>
      </c>
      <c r="D63">
        <f t="shared" si="1"/>
        <v>17.836757990867582</v>
      </c>
      <c r="E63">
        <f t="shared" si="17"/>
        <v>7.8358852199532976</v>
      </c>
      <c r="H63">
        <f t="shared" si="16"/>
        <v>10</v>
      </c>
      <c r="J63">
        <f t="shared" si="3"/>
        <v>10</v>
      </c>
      <c r="L63">
        <f t="shared" si="4"/>
        <v>12.5</v>
      </c>
      <c r="N63">
        <f t="shared" si="5"/>
        <v>12.5</v>
      </c>
      <c r="P63">
        <f t="shared" si="6"/>
        <v>12.5</v>
      </c>
      <c r="R63">
        <f t="shared" si="7"/>
        <v>12.5</v>
      </c>
      <c r="T63">
        <f t="shared" si="8"/>
        <v>12.5</v>
      </c>
      <c r="V63">
        <f t="shared" si="9"/>
        <v>10</v>
      </c>
      <c r="X63">
        <f t="shared" si="10"/>
        <v>10</v>
      </c>
    </row>
    <row r="64" spans="1:24" x14ac:dyDescent="0.25">
      <c r="A64">
        <v>60</v>
      </c>
      <c r="B64">
        <f t="shared" si="13"/>
        <v>50</v>
      </c>
      <c r="C64">
        <f t="shared" si="11"/>
        <v>18.920282542885971</v>
      </c>
      <c r="D64">
        <f t="shared" si="1"/>
        <v>17.836757990867582</v>
      </c>
      <c r="E64">
        <f t="shared" si="17"/>
        <v>7.8358852199532976</v>
      </c>
      <c r="H64">
        <f>H$1/ROUNDUP(H$1/MIN(A64,D$1*D$2),0)</f>
        <v>10</v>
      </c>
      <c r="J64">
        <f t="shared" si="3"/>
        <v>10</v>
      </c>
      <c r="L64">
        <f t="shared" si="4"/>
        <v>12.5</v>
      </c>
      <c r="N64">
        <f t="shared" si="5"/>
        <v>12.5</v>
      </c>
      <c r="P64">
        <f t="shared" si="6"/>
        <v>12.5</v>
      </c>
      <c r="R64">
        <f t="shared" si="7"/>
        <v>12.5</v>
      </c>
      <c r="T64">
        <f t="shared" si="8"/>
        <v>12.5</v>
      </c>
      <c r="V64">
        <f t="shared" si="9"/>
        <v>10</v>
      </c>
      <c r="X64">
        <f t="shared" si="10"/>
        <v>10</v>
      </c>
    </row>
    <row r="65" spans="1:24" x14ac:dyDescent="0.25">
      <c r="A65">
        <v>61</v>
      </c>
      <c r="B65">
        <f t="shared" si="13"/>
        <v>50</v>
      </c>
      <c r="C65">
        <f t="shared" si="11"/>
        <v>19.014962593516209</v>
      </c>
      <c r="D65">
        <f t="shared" si="1"/>
        <v>17.836757990867582</v>
      </c>
      <c r="E65">
        <f t="shared" si="17"/>
        <v>7.8358852199532976</v>
      </c>
      <c r="H65">
        <f>H$1/ROUNDUP(H$1/MIN(A65,D$1*D$2),0)</f>
        <v>10</v>
      </c>
      <c r="J65">
        <f t="shared" si="3"/>
        <v>10</v>
      </c>
      <c r="L65">
        <f t="shared" si="4"/>
        <v>12.5</v>
      </c>
      <c r="N65">
        <f t="shared" si="5"/>
        <v>12.5</v>
      </c>
      <c r="P65">
        <f t="shared" si="6"/>
        <v>12.5</v>
      </c>
      <c r="R65">
        <f t="shared" si="7"/>
        <v>12.5</v>
      </c>
      <c r="T65">
        <f t="shared" si="8"/>
        <v>12.5</v>
      </c>
      <c r="V65">
        <f t="shared" si="9"/>
        <v>10</v>
      </c>
      <c r="X65">
        <f t="shared" si="10"/>
        <v>10</v>
      </c>
    </row>
    <row r="66" spans="1:24" x14ac:dyDescent="0.25">
      <c r="A66">
        <v>62</v>
      </c>
      <c r="B66">
        <f t="shared" si="13"/>
        <v>50</v>
      </c>
      <c r="C66">
        <f t="shared" si="11"/>
        <v>19.107495069033533</v>
      </c>
      <c r="D66">
        <f t="shared" si="1"/>
        <v>17.836757990867582</v>
      </c>
      <c r="E66">
        <f t="shared" si="17"/>
        <v>7.8358852199532976</v>
      </c>
      <c r="H66">
        <f t="shared" ref="H66:H84" si="18">H$1/ROUNDUP(H$1/MIN(A66,D$1*D$2),0)</f>
        <v>10</v>
      </c>
      <c r="J66">
        <f t="shared" si="3"/>
        <v>10</v>
      </c>
      <c r="L66">
        <f t="shared" si="4"/>
        <v>12.5</v>
      </c>
      <c r="N66">
        <f t="shared" si="5"/>
        <v>12.5</v>
      </c>
      <c r="P66">
        <f t="shared" si="6"/>
        <v>12.5</v>
      </c>
      <c r="R66">
        <f t="shared" si="7"/>
        <v>12.5</v>
      </c>
      <c r="T66">
        <f t="shared" si="8"/>
        <v>12.5</v>
      </c>
      <c r="V66">
        <f t="shared" si="9"/>
        <v>10</v>
      </c>
      <c r="X66">
        <f t="shared" si="10"/>
        <v>10</v>
      </c>
    </row>
    <row r="67" spans="1:24" x14ac:dyDescent="0.25">
      <c r="A67">
        <v>63</v>
      </c>
      <c r="B67">
        <f t="shared" si="13"/>
        <v>50</v>
      </c>
      <c r="C67">
        <f t="shared" si="11"/>
        <v>19.197952218430036</v>
      </c>
      <c r="D67">
        <f t="shared" si="1"/>
        <v>17.836757990867582</v>
      </c>
      <c r="E67">
        <f t="shared" si="17"/>
        <v>7.8358852199532976</v>
      </c>
      <c r="H67">
        <f t="shared" si="18"/>
        <v>10</v>
      </c>
      <c r="J67">
        <f t="shared" si="3"/>
        <v>10</v>
      </c>
      <c r="L67">
        <f t="shared" si="4"/>
        <v>12.5</v>
      </c>
      <c r="N67">
        <f t="shared" si="5"/>
        <v>12.5</v>
      </c>
      <c r="P67">
        <f t="shared" si="6"/>
        <v>12.5</v>
      </c>
      <c r="R67">
        <f t="shared" si="7"/>
        <v>12.5</v>
      </c>
      <c r="T67">
        <f t="shared" si="8"/>
        <v>12.5</v>
      </c>
      <c r="V67">
        <f t="shared" si="9"/>
        <v>10</v>
      </c>
      <c r="X67">
        <f t="shared" si="10"/>
        <v>10</v>
      </c>
    </row>
    <row r="68" spans="1:24" x14ac:dyDescent="0.25">
      <c r="A68">
        <v>64</v>
      </c>
      <c r="B68">
        <f t="shared" si="13"/>
        <v>50</v>
      </c>
      <c r="C68">
        <f t="shared" si="11"/>
        <v>19.286403085824492</v>
      </c>
      <c r="D68">
        <f t="shared" si="1"/>
        <v>17.836757990867582</v>
      </c>
      <c r="E68">
        <f t="shared" si="17"/>
        <v>7.8358852199532976</v>
      </c>
      <c r="H68">
        <f t="shared" si="18"/>
        <v>10</v>
      </c>
      <c r="J68">
        <f t="shared" si="3"/>
        <v>10</v>
      </c>
      <c r="L68">
        <f t="shared" si="4"/>
        <v>12.5</v>
      </c>
      <c r="N68">
        <f t="shared" si="5"/>
        <v>12.5</v>
      </c>
      <c r="P68">
        <f t="shared" si="6"/>
        <v>12.5</v>
      </c>
      <c r="R68">
        <f t="shared" si="7"/>
        <v>12.5</v>
      </c>
      <c r="T68">
        <f t="shared" si="8"/>
        <v>12.5</v>
      </c>
      <c r="V68">
        <f t="shared" si="9"/>
        <v>10</v>
      </c>
      <c r="X68">
        <f t="shared" si="10"/>
        <v>10</v>
      </c>
    </row>
    <row r="69" spans="1:24" x14ac:dyDescent="0.25">
      <c r="A69">
        <v>65</v>
      </c>
      <c r="B69">
        <f t="shared" si="13"/>
        <v>50</v>
      </c>
      <c r="C69">
        <f t="shared" si="11"/>
        <v>19.372913686218407</v>
      </c>
      <c r="D69">
        <f t="shared" si="1"/>
        <v>17.836757990867582</v>
      </c>
      <c r="E69">
        <f t="shared" si="17"/>
        <v>7.8358852199532976</v>
      </c>
      <c r="H69">
        <f t="shared" si="18"/>
        <v>10</v>
      </c>
      <c r="J69">
        <f t="shared" si="3"/>
        <v>10</v>
      </c>
      <c r="L69">
        <f t="shared" si="4"/>
        <v>12.5</v>
      </c>
      <c r="N69">
        <f t="shared" si="5"/>
        <v>12.5</v>
      </c>
      <c r="P69">
        <f t="shared" si="6"/>
        <v>12.5</v>
      </c>
      <c r="R69">
        <f t="shared" si="7"/>
        <v>12.5</v>
      </c>
      <c r="T69">
        <f t="shared" si="8"/>
        <v>12.5</v>
      </c>
      <c r="V69">
        <f t="shared" si="9"/>
        <v>10</v>
      </c>
      <c r="X69">
        <f t="shared" si="10"/>
        <v>10</v>
      </c>
    </row>
    <row r="70" spans="1:24" x14ac:dyDescent="0.25">
      <c r="A70">
        <v>66</v>
      </c>
      <c r="B70">
        <f t="shared" si="13"/>
        <v>50</v>
      </c>
      <c r="C70">
        <f t="shared" si="11"/>
        <v>19.45754716981132</v>
      </c>
      <c r="D70">
        <f t="shared" ref="D70:D84" si="19">100/(B$2+B$3/B70)</f>
        <v>17.836757990867582</v>
      </c>
      <c r="E70">
        <f t="shared" si="17"/>
        <v>7.8358852199532976</v>
      </c>
      <c r="H70">
        <f t="shared" si="18"/>
        <v>10</v>
      </c>
      <c r="J70">
        <f t="shared" ref="J70:J84" si="20">J$1/ROUNDUP(J$1/MIN(A70,D$1*D$2),0)</f>
        <v>10</v>
      </c>
      <c r="L70">
        <f t="shared" ref="L70:L84" si="21">L$1/ROUNDUP(L$1/MIN(A70,D$1),0)</f>
        <v>12.5</v>
      </c>
      <c r="N70">
        <f t="shared" ref="N70:N84" si="22">N$1/ROUNDUP(N$1/MIN(A70,D$1),0)</f>
        <v>12.5</v>
      </c>
      <c r="P70">
        <f t="shared" ref="P70:P84" si="23">P$1/ROUNDUP(P$1/MIN(A70,D$1),0)</f>
        <v>12.5</v>
      </c>
      <c r="R70">
        <f t="shared" ref="R70:R84" si="24">R$1/ROUNDUP(R$1/MIN(A70,D$1),0)</f>
        <v>12.5</v>
      </c>
      <c r="T70">
        <f t="shared" ref="T70:T84" si="25">T$1/ROUNDUP(T$1/MIN(A70,D$1),0)</f>
        <v>12.5</v>
      </c>
      <c r="V70">
        <f t="shared" ref="V70:V84" si="26">V$1/ROUNDUP(V$1/MIN(A70,D$1),0)</f>
        <v>10</v>
      </c>
      <c r="X70">
        <f t="shared" ref="X70:X84" si="27">X$1/ROUNDUP(X$1/MIN(A70,D$1),0)</f>
        <v>10</v>
      </c>
    </row>
    <row r="71" spans="1:24" x14ac:dyDescent="0.25">
      <c r="A71">
        <v>67</v>
      </c>
      <c r="B71">
        <f t="shared" si="13"/>
        <v>50</v>
      </c>
      <c r="C71">
        <f t="shared" ref="C71:C84" si="28">100/(B$2+B$3/A71)</f>
        <v>19.540363975734952</v>
      </c>
      <c r="D71">
        <f t="shared" si="19"/>
        <v>17.836757990867582</v>
      </c>
      <c r="E71">
        <f t="shared" si="17"/>
        <v>7.8358852199532976</v>
      </c>
      <c r="H71">
        <f t="shared" si="18"/>
        <v>10</v>
      </c>
      <c r="J71">
        <f t="shared" si="20"/>
        <v>10</v>
      </c>
      <c r="L71">
        <f t="shared" si="21"/>
        <v>12.5</v>
      </c>
      <c r="N71">
        <f t="shared" si="22"/>
        <v>12.5</v>
      </c>
      <c r="P71">
        <f t="shared" si="23"/>
        <v>12.5</v>
      </c>
      <c r="R71">
        <f t="shared" si="24"/>
        <v>12.5</v>
      </c>
      <c r="T71">
        <f t="shared" si="25"/>
        <v>12.5</v>
      </c>
      <c r="V71">
        <f t="shared" si="26"/>
        <v>10</v>
      </c>
      <c r="X71">
        <f t="shared" si="27"/>
        <v>10</v>
      </c>
    </row>
    <row r="72" spans="1:24" x14ac:dyDescent="0.25">
      <c r="A72">
        <v>68</v>
      </c>
      <c r="B72">
        <f t="shared" si="13"/>
        <v>50</v>
      </c>
      <c r="C72">
        <f t="shared" si="28"/>
        <v>19.621421975992611</v>
      </c>
      <c r="D72">
        <f t="shared" si="19"/>
        <v>17.836757990867582</v>
      </c>
      <c r="E72">
        <f t="shared" si="17"/>
        <v>7.8358852199532976</v>
      </c>
      <c r="H72">
        <f t="shared" si="18"/>
        <v>10</v>
      </c>
      <c r="J72">
        <f t="shared" si="20"/>
        <v>10</v>
      </c>
      <c r="L72">
        <f t="shared" si="21"/>
        <v>12.5</v>
      </c>
      <c r="N72">
        <f t="shared" si="22"/>
        <v>12.5</v>
      </c>
      <c r="P72">
        <f t="shared" si="23"/>
        <v>12.5</v>
      </c>
      <c r="R72">
        <f t="shared" si="24"/>
        <v>12.5</v>
      </c>
      <c r="T72">
        <f t="shared" si="25"/>
        <v>12.5</v>
      </c>
      <c r="V72">
        <f t="shared" si="26"/>
        <v>10</v>
      </c>
      <c r="X72">
        <f t="shared" si="27"/>
        <v>10</v>
      </c>
    </row>
    <row r="73" spans="1:24" x14ac:dyDescent="0.25">
      <c r="A73">
        <v>69</v>
      </c>
      <c r="B73">
        <f t="shared" si="13"/>
        <v>50</v>
      </c>
      <c r="C73">
        <f t="shared" si="28"/>
        <v>19.70077661032435</v>
      </c>
      <c r="D73">
        <f t="shared" si="19"/>
        <v>17.836757990867582</v>
      </c>
      <c r="E73">
        <f t="shared" si="17"/>
        <v>7.8358852199532976</v>
      </c>
      <c r="H73">
        <f t="shared" si="18"/>
        <v>10</v>
      </c>
      <c r="J73">
        <f t="shared" si="20"/>
        <v>10</v>
      </c>
      <c r="L73">
        <f t="shared" si="21"/>
        <v>12.5</v>
      </c>
      <c r="N73">
        <f t="shared" si="22"/>
        <v>12.5</v>
      </c>
      <c r="P73">
        <f t="shared" si="23"/>
        <v>12.5</v>
      </c>
      <c r="R73">
        <f t="shared" si="24"/>
        <v>12.5</v>
      </c>
      <c r="T73">
        <f t="shared" si="25"/>
        <v>12.5</v>
      </c>
      <c r="V73">
        <f t="shared" si="26"/>
        <v>10</v>
      </c>
      <c r="X73">
        <f t="shared" si="27"/>
        <v>10</v>
      </c>
    </row>
    <row r="74" spans="1:24" x14ac:dyDescent="0.25">
      <c r="A74">
        <v>70</v>
      </c>
      <c r="B74">
        <f t="shared" si="13"/>
        <v>50</v>
      </c>
      <c r="C74">
        <f t="shared" si="28"/>
        <v>19.778481012658229</v>
      </c>
      <c r="D74">
        <f t="shared" si="19"/>
        <v>17.836757990867582</v>
      </c>
      <c r="E74">
        <f t="shared" si="17"/>
        <v>7.8358852199532976</v>
      </c>
      <c r="H74">
        <f t="shared" si="18"/>
        <v>10</v>
      </c>
      <c r="J74">
        <f t="shared" si="20"/>
        <v>10</v>
      </c>
      <c r="L74">
        <f t="shared" si="21"/>
        <v>12.5</v>
      </c>
      <c r="N74">
        <f t="shared" si="22"/>
        <v>12.5</v>
      </c>
      <c r="P74">
        <f t="shared" si="23"/>
        <v>12.5</v>
      </c>
      <c r="R74">
        <f t="shared" si="24"/>
        <v>12.5</v>
      </c>
      <c r="T74">
        <f t="shared" si="25"/>
        <v>12.5</v>
      </c>
      <c r="V74">
        <f t="shared" si="26"/>
        <v>10</v>
      </c>
      <c r="X74">
        <f t="shared" si="27"/>
        <v>10</v>
      </c>
    </row>
    <row r="75" spans="1:24" x14ac:dyDescent="0.25">
      <c r="A75">
        <v>71</v>
      </c>
      <c r="B75">
        <f t="shared" si="13"/>
        <v>50</v>
      </c>
      <c r="C75">
        <f t="shared" si="28"/>
        <v>19.854586129753912</v>
      </c>
      <c r="D75">
        <f t="shared" si="19"/>
        <v>17.836757990867582</v>
      </c>
      <c r="E75">
        <f t="shared" si="17"/>
        <v>7.8358852199532976</v>
      </c>
      <c r="H75">
        <f t="shared" si="18"/>
        <v>10</v>
      </c>
      <c r="J75">
        <f t="shared" si="20"/>
        <v>10</v>
      </c>
      <c r="L75">
        <f t="shared" si="21"/>
        <v>12.5</v>
      </c>
      <c r="N75">
        <f t="shared" si="22"/>
        <v>12.5</v>
      </c>
      <c r="P75">
        <f t="shared" si="23"/>
        <v>12.5</v>
      </c>
      <c r="R75">
        <f t="shared" si="24"/>
        <v>12.5</v>
      </c>
      <c r="T75">
        <f t="shared" si="25"/>
        <v>12.5</v>
      </c>
      <c r="V75">
        <f t="shared" si="26"/>
        <v>10</v>
      </c>
      <c r="X75">
        <f t="shared" si="27"/>
        <v>10</v>
      </c>
    </row>
    <row r="76" spans="1:24" x14ac:dyDescent="0.25">
      <c r="A76">
        <v>72</v>
      </c>
      <c r="B76">
        <f t="shared" ref="B76:B84" si="29">B$1/ROUNDUP(B$1/A76,0)</f>
        <v>50</v>
      </c>
      <c r="C76">
        <f t="shared" si="28"/>
        <v>19.929140832595216</v>
      </c>
      <c r="D76">
        <f t="shared" si="19"/>
        <v>17.836757990867582</v>
      </c>
      <c r="E76">
        <f t="shared" si="17"/>
        <v>7.8358852199532976</v>
      </c>
      <c r="H76">
        <f t="shared" si="18"/>
        <v>10</v>
      </c>
      <c r="J76">
        <f t="shared" si="20"/>
        <v>10</v>
      </c>
      <c r="L76">
        <f t="shared" si="21"/>
        <v>12.5</v>
      </c>
      <c r="N76">
        <f t="shared" si="22"/>
        <v>12.5</v>
      </c>
      <c r="P76">
        <f t="shared" si="23"/>
        <v>12.5</v>
      </c>
      <c r="R76">
        <f t="shared" si="24"/>
        <v>12.5</v>
      </c>
      <c r="T76">
        <f t="shared" si="25"/>
        <v>12.5</v>
      </c>
      <c r="V76">
        <f t="shared" si="26"/>
        <v>10</v>
      </c>
      <c r="X76">
        <f t="shared" si="27"/>
        <v>10</v>
      </c>
    </row>
    <row r="77" spans="1:24" x14ac:dyDescent="0.25">
      <c r="A77">
        <v>73</v>
      </c>
      <c r="B77">
        <f t="shared" si="29"/>
        <v>50</v>
      </c>
      <c r="C77">
        <f t="shared" si="28"/>
        <v>20.002192021043403</v>
      </c>
      <c r="D77">
        <f t="shared" si="19"/>
        <v>17.836757990867582</v>
      </c>
      <c r="E77">
        <f t="shared" si="17"/>
        <v>7.8358852199532976</v>
      </c>
      <c r="H77">
        <f t="shared" si="18"/>
        <v>10</v>
      </c>
      <c r="J77">
        <f t="shared" si="20"/>
        <v>10</v>
      </c>
      <c r="L77">
        <f t="shared" si="21"/>
        <v>12.5</v>
      </c>
      <c r="N77">
        <f t="shared" si="22"/>
        <v>12.5</v>
      </c>
      <c r="P77">
        <f t="shared" si="23"/>
        <v>12.5</v>
      </c>
      <c r="R77">
        <f t="shared" si="24"/>
        <v>12.5</v>
      </c>
      <c r="T77">
        <f t="shared" si="25"/>
        <v>12.5</v>
      </c>
      <c r="V77">
        <f t="shared" si="26"/>
        <v>10</v>
      </c>
      <c r="X77">
        <f t="shared" si="27"/>
        <v>10</v>
      </c>
    </row>
    <row r="78" spans="1:24" x14ac:dyDescent="0.25">
      <c r="A78">
        <v>74</v>
      </c>
      <c r="B78">
        <f t="shared" si="29"/>
        <v>50</v>
      </c>
      <c r="C78">
        <f t="shared" si="28"/>
        <v>20.073784722222225</v>
      </c>
      <c r="D78">
        <f t="shared" si="19"/>
        <v>17.836757990867582</v>
      </c>
      <c r="E78">
        <f t="shared" si="17"/>
        <v>7.8358852199532976</v>
      </c>
      <c r="H78">
        <f t="shared" si="18"/>
        <v>10</v>
      </c>
      <c r="J78">
        <f t="shared" si="20"/>
        <v>10</v>
      </c>
      <c r="L78">
        <f t="shared" si="21"/>
        <v>12.5</v>
      </c>
      <c r="N78">
        <f t="shared" si="22"/>
        <v>12.5</v>
      </c>
      <c r="P78">
        <f t="shared" si="23"/>
        <v>12.5</v>
      </c>
      <c r="R78">
        <f t="shared" si="24"/>
        <v>12.5</v>
      </c>
      <c r="T78">
        <f t="shared" si="25"/>
        <v>12.5</v>
      </c>
      <c r="V78">
        <f t="shared" si="26"/>
        <v>10</v>
      </c>
      <c r="X78">
        <f t="shared" si="27"/>
        <v>10</v>
      </c>
    </row>
    <row r="79" spans="1:24" x14ac:dyDescent="0.25">
      <c r="A79">
        <v>75</v>
      </c>
      <c r="B79">
        <f t="shared" si="29"/>
        <v>50</v>
      </c>
      <c r="C79">
        <f t="shared" si="28"/>
        <v>20.143962183068325</v>
      </c>
      <c r="D79">
        <f t="shared" si="19"/>
        <v>17.836757990867582</v>
      </c>
      <c r="E79">
        <f>100/(B$2+H$2/H79+J$2/J79+L$2/L79+N$2/N79+P$2/P79+R$2/R79+T$2/T79+V$2/V79+X$2/X79)</f>
        <v>7.8358852199532976</v>
      </c>
      <c r="H79">
        <f t="shared" si="18"/>
        <v>10</v>
      </c>
      <c r="J79">
        <f t="shared" si="20"/>
        <v>10</v>
      </c>
      <c r="L79">
        <f t="shared" si="21"/>
        <v>12.5</v>
      </c>
      <c r="N79">
        <f t="shared" si="22"/>
        <v>12.5</v>
      </c>
      <c r="P79">
        <f t="shared" si="23"/>
        <v>12.5</v>
      </c>
      <c r="R79">
        <f t="shared" si="24"/>
        <v>12.5</v>
      </c>
      <c r="T79">
        <f t="shared" si="25"/>
        <v>12.5</v>
      </c>
      <c r="V79">
        <f t="shared" si="26"/>
        <v>10</v>
      </c>
      <c r="X79">
        <f t="shared" si="27"/>
        <v>10</v>
      </c>
    </row>
    <row r="80" spans="1:24" x14ac:dyDescent="0.25">
      <c r="A80">
        <v>76</v>
      </c>
      <c r="B80">
        <f t="shared" si="29"/>
        <v>50</v>
      </c>
      <c r="C80">
        <f t="shared" si="28"/>
        <v>20.212765957446809</v>
      </c>
      <c r="D80">
        <f t="shared" si="19"/>
        <v>17.836757990867582</v>
      </c>
      <c r="E80">
        <f>100/(B$2+H$2/H80+J$2/J80+L$2/L80+N$2/N80+P$2/P80+R$2/R80+T$2/T80+V$2/V80+X$2/X80)</f>
        <v>7.8358852199532976</v>
      </c>
      <c r="H80">
        <f t="shared" si="18"/>
        <v>10</v>
      </c>
      <c r="J80">
        <f t="shared" si="20"/>
        <v>10</v>
      </c>
      <c r="L80">
        <f t="shared" si="21"/>
        <v>12.5</v>
      </c>
      <c r="N80">
        <f t="shared" si="22"/>
        <v>12.5</v>
      </c>
      <c r="P80">
        <f t="shared" si="23"/>
        <v>12.5</v>
      </c>
      <c r="R80">
        <f t="shared" si="24"/>
        <v>12.5</v>
      </c>
      <c r="T80">
        <f t="shared" si="25"/>
        <v>12.5</v>
      </c>
      <c r="V80">
        <f t="shared" si="26"/>
        <v>10</v>
      </c>
      <c r="X80">
        <f t="shared" si="27"/>
        <v>10</v>
      </c>
    </row>
    <row r="81" spans="1:24" x14ac:dyDescent="0.25">
      <c r="A81">
        <v>77</v>
      </c>
      <c r="B81">
        <f t="shared" si="29"/>
        <v>50</v>
      </c>
      <c r="C81">
        <f t="shared" si="28"/>
        <v>20.280235988200591</v>
      </c>
      <c r="D81">
        <f t="shared" si="19"/>
        <v>17.836757990867582</v>
      </c>
      <c r="E81">
        <f t="shared" ref="E81:E84" si="30">100/(B$2+H$2/H81+J$2/J81+L$2/L81+N$2/N81+P$2/P81+R$2/R81+T$2/T81+V$2/V81+X$2/X81)</f>
        <v>7.8358852199532976</v>
      </c>
      <c r="H81">
        <f t="shared" si="18"/>
        <v>10</v>
      </c>
      <c r="J81">
        <f t="shared" si="20"/>
        <v>10</v>
      </c>
      <c r="L81">
        <f t="shared" si="21"/>
        <v>12.5</v>
      </c>
      <c r="N81">
        <f t="shared" si="22"/>
        <v>12.5</v>
      </c>
      <c r="P81">
        <f t="shared" si="23"/>
        <v>12.5</v>
      </c>
      <c r="R81">
        <f t="shared" si="24"/>
        <v>12.5</v>
      </c>
      <c r="T81">
        <f t="shared" si="25"/>
        <v>12.5</v>
      </c>
      <c r="V81">
        <f t="shared" si="26"/>
        <v>10</v>
      </c>
      <c r="X81">
        <f t="shared" si="27"/>
        <v>10</v>
      </c>
    </row>
    <row r="82" spans="1:24" x14ac:dyDescent="0.25">
      <c r="A82">
        <v>78</v>
      </c>
      <c r="B82">
        <f t="shared" si="29"/>
        <v>50</v>
      </c>
      <c r="C82">
        <f t="shared" si="28"/>
        <v>20.346410684474122</v>
      </c>
      <c r="D82">
        <f t="shared" si="19"/>
        <v>17.836757990867582</v>
      </c>
      <c r="E82">
        <f t="shared" si="30"/>
        <v>7.8358852199532976</v>
      </c>
      <c r="H82">
        <f t="shared" si="18"/>
        <v>10</v>
      </c>
      <c r="J82">
        <f t="shared" si="20"/>
        <v>10</v>
      </c>
      <c r="L82">
        <f t="shared" si="21"/>
        <v>12.5</v>
      </c>
      <c r="N82">
        <f t="shared" si="22"/>
        <v>12.5</v>
      </c>
      <c r="P82">
        <f t="shared" si="23"/>
        <v>12.5</v>
      </c>
      <c r="R82">
        <f t="shared" si="24"/>
        <v>12.5</v>
      </c>
      <c r="T82">
        <f t="shared" si="25"/>
        <v>12.5</v>
      </c>
      <c r="V82">
        <f t="shared" si="26"/>
        <v>10</v>
      </c>
      <c r="X82">
        <f t="shared" si="27"/>
        <v>10</v>
      </c>
    </row>
    <row r="83" spans="1:24" x14ac:dyDescent="0.25">
      <c r="A83">
        <v>79</v>
      </c>
      <c r="B83">
        <f t="shared" si="29"/>
        <v>50</v>
      </c>
      <c r="C83">
        <f t="shared" si="28"/>
        <v>20.411326994625878</v>
      </c>
      <c r="D83">
        <f t="shared" si="19"/>
        <v>17.836757990867582</v>
      </c>
      <c r="E83">
        <f t="shared" si="30"/>
        <v>7.8358852199532976</v>
      </c>
      <c r="H83">
        <f t="shared" si="18"/>
        <v>10</v>
      </c>
      <c r="J83">
        <f t="shared" si="20"/>
        <v>10</v>
      </c>
      <c r="L83">
        <f t="shared" si="21"/>
        <v>12.5</v>
      </c>
      <c r="N83">
        <f t="shared" si="22"/>
        <v>12.5</v>
      </c>
      <c r="P83">
        <f t="shared" si="23"/>
        <v>12.5</v>
      </c>
      <c r="R83">
        <f t="shared" si="24"/>
        <v>12.5</v>
      </c>
      <c r="T83">
        <f t="shared" si="25"/>
        <v>12.5</v>
      </c>
      <c r="V83">
        <f t="shared" si="26"/>
        <v>10</v>
      </c>
      <c r="X83">
        <f t="shared" si="27"/>
        <v>10</v>
      </c>
    </row>
    <row r="84" spans="1:24" x14ac:dyDescent="0.25">
      <c r="A84">
        <v>80</v>
      </c>
      <c r="B84">
        <f t="shared" si="29"/>
        <v>50</v>
      </c>
      <c r="C84">
        <f t="shared" si="28"/>
        <v>20.475020475020475</v>
      </c>
      <c r="D84">
        <f t="shared" si="19"/>
        <v>17.836757990867582</v>
      </c>
      <c r="E84">
        <f t="shared" si="30"/>
        <v>7.8358852199532976</v>
      </c>
      <c r="H84">
        <f t="shared" si="18"/>
        <v>10</v>
      </c>
      <c r="J84">
        <f t="shared" si="20"/>
        <v>10</v>
      </c>
      <c r="L84">
        <f t="shared" si="21"/>
        <v>12.5</v>
      </c>
      <c r="N84">
        <f t="shared" si="22"/>
        <v>12.5</v>
      </c>
      <c r="P84">
        <f t="shared" si="23"/>
        <v>12.5</v>
      </c>
      <c r="R84">
        <f t="shared" si="24"/>
        <v>12.5</v>
      </c>
      <c r="T84">
        <f t="shared" si="25"/>
        <v>12.5</v>
      </c>
      <c r="V84">
        <f t="shared" si="26"/>
        <v>10</v>
      </c>
      <c r="X84">
        <f t="shared" si="27"/>
        <v>10</v>
      </c>
    </row>
    <row r="89" spans="1:24" x14ac:dyDescent="0.25">
      <c r="A89" s="1">
        <v>1</v>
      </c>
      <c r="B89">
        <v>1</v>
      </c>
      <c r="C89">
        <v>1</v>
      </c>
      <c r="D89">
        <v>0.99999999999999989</v>
      </c>
      <c r="E89">
        <f>$A89/B89</f>
        <v>1</v>
      </c>
      <c r="F89">
        <f>$A89/C89</f>
        <v>1</v>
      </c>
      <c r="G89">
        <f>$A89/D89</f>
        <v>1</v>
      </c>
    </row>
    <row r="90" spans="1:24" x14ac:dyDescent="0.25">
      <c r="A90" s="1">
        <v>1.9893214738254399</v>
      </c>
      <c r="B90">
        <v>2</v>
      </c>
      <c r="C90">
        <v>1.9290123456790125</v>
      </c>
      <c r="D90">
        <v>1.9087539272612053</v>
      </c>
      <c r="E90">
        <f>$A90/B90</f>
        <v>0.99466073691271994</v>
      </c>
      <c r="F90">
        <f t="shared" ref="F90:F104" si="31">$A90/C90</f>
        <v>1.0312642520311079</v>
      </c>
      <c r="G90">
        <f t="shared" ref="G90:G104" si="32">$A90/D90</f>
        <v>1.0422094987800956</v>
      </c>
    </row>
    <row r="91" spans="1:24" x14ac:dyDescent="0.25">
      <c r="A91" s="1">
        <v>2.8658835151619302</v>
      </c>
      <c r="B91">
        <v>3</v>
      </c>
      <c r="C91">
        <v>2.7943368107302535</v>
      </c>
      <c r="D91">
        <v>2.6548367142678888</v>
      </c>
      <c r="E91">
        <f t="shared" ref="E91:E104" si="33">$A91/B91</f>
        <v>0.95529450505397673</v>
      </c>
      <c r="F91">
        <f t="shared" si="31"/>
        <v>1.0256041806259493</v>
      </c>
      <c r="G91">
        <f t="shared" si="32"/>
        <v>1.0794952095395594</v>
      </c>
    </row>
    <row r="92" spans="1:24" x14ac:dyDescent="0.25">
      <c r="A92" s="1">
        <v>3.6464914198273002</v>
      </c>
      <c r="B92">
        <v>4</v>
      </c>
      <c r="C92">
        <v>3.6023054755043229</v>
      </c>
      <c r="D92">
        <v>3.4983015745855393</v>
      </c>
      <c r="E92">
        <f t="shared" si="33"/>
        <v>0.91162285495682505</v>
      </c>
      <c r="F92">
        <f t="shared" si="31"/>
        <v>1.0122660181440586</v>
      </c>
      <c r="G92">
        <f t="shared" si="32"/>
        <v>1.042360511831893</v>
      </c>
    </row>
    <row r="93" spans="1:24" x14ac:dyDescent="0.25">
      <c r="A93" s="1">
        <v>4.1332349084752096</v>
      </c>
      <c r="B93">
        <v>5</v>
      </c>
      <c r="C93">
        <v>4.3584379358437939</v>
      </c>
      <c r="D93">
        <v>4.3584379358437939</v>
      </c>
      <c r="E93">
        <f t="shared" si="33"/>
        <v>0.82664698169504192</v>
      </c>
      <c r="F93">
        <f t="shared" si="31"/>
        <v>0.94832941740055199</v>
      </c>
      <c r="G93">
        <f t="shared" si="32"/>
        <v>0.94832941740055199</v>
      </c>
    </row>
    <row r="94" spans="1:24" x14ac:dyDescent="0.25">
      <c r="A94" s="1">
        <v>4.1519673933334698</v>
      </c>
      <c r="B94">
        <v>6</v>
      </c>
      <c r="C94">
        <v>5.0675675675675684</v>
      </c>
      <c r="D94">
        <v>4.3584379358437939</v>
      </c>
      <c r="E94">
        <f t="shared" si="33"/>
        <v>0.69199456555557826</v>
      </c>
      <c r="F94">
        <f t="shared" si="31"/>
        <v>0.81932156561780456</v>
      </c>
      <c r="G94">
        <f t="shared" si="32"/>
        <v>0.95262739872643121</v>
      </c>
    </row>
    <row r="95" spans="1:24" x14ac:dyDescent="0.25">
      <c r="A95" s="1">
        <v>4.8337519016686397</v>
      </c>
      <c r="B95">
        <v>7</v>
      </c>
      <c r="C95">
        <v>5.7339449541284395</v>
      </c>
      <c r="D95">
        <v>5.4338671202134421</v>
      </c>
      <c r="E95">
        <f t="shared" si="33"/>
        <v>0.69053598595266286</v>
      </c>
      <c r="F95">
        <f t="shared" si="31"/>
        <v>0.84300633165101091</v>
      </c>
      <c r="G95">
        <f t="shared" si="32"/>
        <v>0.88956019621598148</v>
      </c>
    </row>
    <row r="96" spans="1:24" x14ac:dyDescent="0.25">
      <c r="A96" s="1">
        <v>5.1475576356833397</v>
      </c>
      <c r="B96">
        <v>8</v>
      </c>
      <c r="C96">
        <v>6.3613231552162857</v>
      </c>
      <c r="D96">
        <v>5.4338671202134421</v>
      </c>
      <c r="E96">
        <f t="shared" si="33"/>
        <v>0.64344470446041746</v>
      </c>
      <c r="F96">
        <f t="shared" si="31"/>
        <v>0.80919606032942093</v>
      </c>
      <c r="G96">
        <f t="shared" si="32"/>
        <v>0.94731017925244076</v>
      </c>
    </row>
    <row r="97" spans="1:7" x14ac:dyDescent="0.25">
      <c r="A97" s="1">
        <v>5.3993607207401597</v>
      </c>
      <c r="B97">
        <v>9</v>
      </c>
      <c r="C97">
        <v>6.9530284301606926</v>
      </c>
      <c r="D97">
        <v>5.7794448265299643</v>
      </c>
      <c r="E97">
        <f t="shared" si="33"/>
        <v>0.59992896897112891</v>
      </c>
      <c r="F97">
        <f t="shared" si="31"/>
        <v>0.77654805743622912</v>
      </c>
      <c r="G97">
        <f t="shared" si="32"/>
        <v>0.93423518742750744</v>
      </c>
    </row>
    <row r="98" spans="1:7" x14ac:dyDescent="0.25">
      <c r="A98" s="1">
        <v>6.5961643023083401</v>
      </c>
      <c r="B98">
        <v>10</v>
      </c>
      <c r="C98">
        <v>7.5120192307692308</v>
      </c>
      <c r="D98">
        <v>7.213862157521894</v>
      </c>
      <c r="E98">
        <f t="shared" si="33"/>
        <v>0.65961643023083405</v>
      </c>
      <c r="F98">
        <f t="shared" si="31"/>
        <v>0.87808139192328627</v>
      </c>
      <c r="G98">
        <f t="shared" si="32"/>
        <v>0.91437348791458672</v>
      </c>
    </row>
    <row r="99" spans="1:7" x14ac:dyDescent="0.25">
      <c r="A99" s="1">
        <v>6.3533080475457497</v>
      </c>
      <c r="B99">
        <v>11</v>
      </c>
      <c r="C99">
        <v>8.040935672514621</v>
      </c>
      <c r="D99">
        <v>7.213862157521894</v>
      </c>
      <c r="E99">
        <f t="shared" si="33"/>
        <v>0.57757345886779543</v>
      </c>
      <c r="F99">
        <f t="shared" si="31"/>
        <v>0.79012049173114407</v>
      </c>
      <c r="G99">
        <f t="shared" si="32"/>
        <v>0.88070826816688697</v>
      </c>
    </row>
    <row r="100" spans="1:7" x14ac:dyDescent="0.25">
      <c r="A100" s="1">
        <v>6.34243754059663</v>
      </c>
      <c r="B100">
        <v>12</v>
      </c>
      <c r="C100">
        <v>8.5421412300683386</v>
      </c>
      <c r="D100">
        <v>7.213862157521894</v>
      </c>
      <c r="E100">
        <f t="shared" si="33"/>
        <v>0.5285364617163858</v>
      </c>
      <c r="F100">
        <f t="shared" si="31"/>
        <v>0.74248802141917869</v>
      </c>
      <c r="G100">
        <f t="shared" si="32"/>
        <v>0.87920137675258603</v>
      </c>
    </row>
    <row r="101" spans="1:7" x14ac:dyDescent="0.25">
      <c r="A101" s="1">
        <v>6.7433802722005103</v>
      </c>
      <c r="B101">
        <v>13</v>
      </c>
      <c r="C101">
        <v>9.0177580466148726</v>
      </c>
      <c r="D101">
        <v>7.8358852199532976</v>
      </c>
      <c r="E101">
        <f t="shared" si="33"/>
        <v>0.51872155940003928</v>
      </c>
      <c r="F101">
        <f t="shared" si="31"/>
        <v>0.74778900003109661</v>
      </c>
      <c r="G101">
        <f t="shared" si="32"/>
        <v>0.86057670357768479</v>
      </c>
    </row>
    <row r="102" spans="1:7" x14ac:dyDescent="0.25">
      <c r="A102" s="1">
        <v>6.7429259583642098</v>
      </c>
      <c r="B102">
        <v>14</v>
      </c>
      <c r="C102">
        <v>9.4696969696969688</v>
      </c>
      <c r="D102">
        <v>7.8358852199532976</v>
      </c>
      <c r="E102">
        <f t="shared" si="33"/>
        <v>0.48163756845458644</v>
      </c>
      <c r="F102">
        <f t="shared" si="31"/>
        <v>0.71205298120326066</v>
      </c>
      <c r="G102">
        <f t="shared" si="32"/>
        <v>0.86051872495452375</v>
      </c>
    </row>
    <row r="103" spans="1:7" x14ac:dyDescent="0.25">
      <c r="A103" s="1">
        <v>7.2188142378015803</v>
      </c>
      <c r="B103">
        <v>15</v>
      </c>
      <c r="C103">
        <v>9.899683210137276</v>
      </c>
      <c r="D103">
        <v>7.8358852199532976</v>
      </c>
      <c r="E103">
        <f t="shared" si="33"/>
        <v>0.48125428252010533</v>
      </c>
      <c r="F103">
        <f t="shared" si="31"/>
        <v>0.72919648887446364</v>
      </c>
      <c r="G103">
        <f t="shared" si="32"/>
        <v>0.92125063539976215</v>
      </c>
    </row>
    <row r="104" spans="1:7" x14ac:dyDescent="0.25">
      <c r="A104" s="1">
        <v>7.9638153968569698</v>
      </c>
      <c r="B104">
        <v>16</v>
      </c>
      <c r="C104">
        <v>10.309278350515465</v>
      </c>
      <c r="D104">
        <v>7.8358852199532976</v>
      </c>
      <c r="E104">
        <f t="shared" si="33"/>
        <v>0.49773846230356061</v>
      </c>
      <c r="F104">
        <f t="shared" si="31"/>
        <v>0.77249009349512598</v>
      </c>
      <c r="G104">
        <f t="shared" si="32"/>
        <v>1.0163261933160928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НИЦ "Курчатовский институт"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Горемыкин Сергей Александрович</dc:creator>
  <cp:lastModifiedBy>Горемыкин Сергей Александрович</cp:lastModifiedBy>
  <dcterms:created xsi:type="dcterms:W3CDTF">2014-02-18T11:51:45Z</dcterms:created>
  <dcterms:modified xsi:type="dcterms:W3CDTF">2014-02-19T14:29:41Z</dcterms:modified>
</cp:coreProperties>
</file>